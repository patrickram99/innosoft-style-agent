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Leyenda" sheetId="1" state="visible" r:id="rId1"/>
    <sheet xmlns:r="http://schemas.openxmlformats.org/officeDocument/2006/relationships" name="Replan 29-sep" sheetId="2" state="visible" r:id="rId2"/>
    <sheet xmlns:r="http://schemas.openxmlformats.org/officeDocument/2006/relationships" name="RICE" sheetId="3" state="visible" r:id="rId3"/>
    <sheet xmlns:r="http://schemas.openxmlformats.org/officeDocument/2006/relationships" name="Sprint 1" sheetId="4" state="visible" r:id="rId4"/>
    <sheet xmlns:r="http://schemas.openxmlformats.org/officeDocument/2006/relationships" name="Tareas Sprint 1" sheetId="5" state="visible" r:id="rId5"/>
    <sheet xmlns:r="http://schemas.openxmlformats.org/officeDocument/2006/relationships" name="Sprint 2" sheetId="6" state="visible" r:id="rId6"/>
    <sheet xmlns:r="http://schemas.openxmlformats.org/officeDocument/2006/relationships" name="Tareas Sprint 2" sheetId="7" state="visible" r:id="rId7"/>
    <sheet xmlns:r="http://schemas.openxmlformats.org/officeDocument/2006/relationships" name="Calendario" sheetId="8" state="visible" r:id="rId8"/>
  </sheets>
  <definedNames>
    <definedName name="_xlnm._FilterDatabase" localSheetId="2" hidden="1">'RICE'!$A$4:$L$40</definedName>
    <definedName name="_xlnm._FilterDatabase" localSheetId="4" hidden="1">'Tareas Sprint 1'!$A$4:$F$42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dd\-mmm\-yyyy"/>
    <numFmt numFmtId="165" formatCode="ddd\ dd\-mmm"/>
    <numFmt numFmtId="166" formatCode="0.0"/>
    <numFmt numFmtId="167" formatCode="dd/mm/yyyy"/>
    <numFmt numFmtId="168" formatCode="yyyy\-mm\-dd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color rgb="FF595959"/>
      <sz val="9"/>
    </font>
    <font>
      <name val="Arial"/>
      <charset val="1"/>
      <family val="0"/>
      <color rgb="FF0000FF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top"/>
    </xf>
    <xf numFmtId="0" fontId="9" fillId="0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top"/>
    </xf>
    <xf numFmtId="0" fontId="6" fillId="2" borderId="0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2" fontId="8" fillId="0" borderId="0" applyAlignment="1" pivotButton="0" quotePrefix="0" xfId="0">
      <alignment horizontal="general" vertical="bottom"/>
    </xf>
    <xf numFmtId="2" fontId="7" fillId="0" borderId="0" applyAlignment="1" pivotButton="0" quotePrefix="0" xfId="0">
      <alignment horizontal="general" vertical="bottom"/>
    </xf>
    <xf numFmtId="2" fontId="1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9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165" fontId="10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/>
    </xf>
    <xf numFmtId="0" fontId="8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/>
    </xf>
    <xf numFmtId="2" fontId="10" fillId="0" borderId="1" applyAlignment="1" pivotButton="0" quotePrefix="0" xfId="0">
      <alignment horizontal="general" vertical="top"/>
    </xf>
    <xf numFmtId="9" fontId="10" fillId="0" borderId="1" applyAlignment="1" pivotButton="0" quotePrefix="0" xfId="0">
      <alignment horizontal="general" vertical="top"/>
    </xf>
    <xf numFmtId="166" fontId="8" fillId="0" borderId="1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top" wrapText="1"/>
    </xf>
    <xf numFmtId="9" fontId="0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9" fontId="8" fillId="0" borderId="1" applyAlignment="1" pivotButton="0" quotePrefix="0" xfId="0">
      <alignment horizontal="general" vertical="top" wrapText="1"/>
    </xf>
    <xf numFmtId="9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7" fontId="8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center" vertical="top"/>
    </xf>
    <xf numFmtId="168" fontId="8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top"/>
    </xf>
    <xf numFmtId="0" fontId="9" fillId="0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top"/>
    </xf>
    <xf numFmtId="0" fontId="6" fillId="2" borderId="0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2" fontId="8" fillId="0" borderId="0" applyAlignment="1" pivotButton="0" quotePrefix="0" xfId="0">
      <alignment horizontal="general" vertical="bottom"/>
    </xf>
    <xf numFmtId="2" fontId="7" fillId="0" borderId="0" applyAlignment="1" pivotButton="0" quotePrefix="0" xfId="0">
      <alignment horizontal="general" vertical="bottom"/>
    </xf>
    <xf numFmtId="2" fontId="1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9" fontId="7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/>
    </xf>
    <xf numFmtId="0" fontId="8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/>
    </xf>
    <xf numFmtId="2" fontId="10" fillId="0" borderId="1" applyAlignment="1" pivotButton="0" quotePrefix="0" xfId="0">
      <alignment horizontal="general" vertical="top"/>
    </xf>
    <xf numFmtId="9" fontId="10" fillId="0" borderId="1" applyAlignment="1" pivotButton="0" quotePrefix="0" xfId="0">
      <alignment horizontal="general" vertical="top"/>
    </xf>
    <xf numFmtId="166" fontId="8" fillId="0" borderId="1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top" wrapText="1"/>
    </xf>
    <xf numFmtId="9" fontId="0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9" fontId="8" fillId="0" borderId="1" applyAlignment="1" pivotButton="0" quotePrefix="0" xfId="0">
      <alignment horizontal="general" vertical="top" wrapText="1"/>
    </xf>
    <xf numFmtId="9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7" fontId="8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center" vertical="top"/>
    </xf>
    <xf numFmtId="168" fontId="8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CFDA93"/>
          <bgColor rgb="FF000000"/>
        </patternFill>
      </fill>
    </dxf>
    <dxf>
      <fill>
        <patternFill patternType="solid">
          <fgColor rgb="FFDDDE95"/>
          <bgColor rgb="FF000000"/>
        </patternFill>
      </fill>
    </dxf>
    <dxf>
      <fill>
        <patternFill patternType="solid">
          <fgColor rgb="FFE9E197"/>
          <bgColor rgb="FF000000"/>
        </patternFill>
      </fill>
    </dxf>
    <dxf>
      <fill>
        <patternFill patternType="solid">
          <fgColor rgb="FFF1E398"/>
          <bgColor rgb="FF000000"/>
        </patternFill>
      </fill>
    </dxf>
    <dxf>
      <fill>
        <patternFill patternType="solid">
          <fgColor rgb="FFF4E398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8CCAC"/>
          <bgColor rgb="FF000000"/>
        </patternFill>
      </fill>
    </dxf>
    <dxf>
      <fill>
        <patternFill patternType="solid">
          <fgColor rgb="FFF8CDAB"/>
          <bgColor rgb="FF000000"/>
        </patternFill>
      </fill>
    </dxf>
    <dxf>
      <fill>
        <patternFill patternType="solid">
          <fgColor rgb="FFF8CEAB"/>
          <bgColor rgb="FF000000"/>
        </patternFill>
      </fill>
    </dxf>
    <dxf>
      <fill>
        <patternFill patternType="solid">
          <fgColor rgb="FFF9CFAA"/>
          <bgColor rgb="FF000000"/>
        </patternFill>
      </fill>
    </dxf>
    <dxf>
      <fill>
        <patternFill patternType="solid">
          <fgColor rgb="FFF9D1A8"/>
          <bgColor rgb="FF000000"/>
        </patternFill>
      </fill>
    </dxf>
    <dxf>
      <fill>
        <patternFill patternType="solid">
          <fgColor rgb="FFFAD4A7"/>
          <bgColor rgb="FF000000"/>
        </patternFill>
      </fill>
    </dxf>
    <dxf>
      <fill>
        <patternFill patternType="solid">
          <fgColor rgb="FFFBD6A5"/>
          <bgColor rgb="FF000000"/>
        </patternFill>
      </fill>
    </dxf>
    <dxf>
      <fill>
        <patternFill patternType="solid">
          <fgColor rgb="FFFBD9A3"/>
          <bgColor rgb="FF000000"/>
        </patternFill>
      </fill>
    </dxf>
    <dxf>
      <fill>
        <patternFill patternType="solid">
          <fgColor rgb="FFFBDAA2"/>
          <bgColor rgb="FF000000"/>
        </patternFill>
      </fill>
    </dxf>
    <dxf>
      <fill>
        <patternFill patternType="solid">
          <fgColor rgb="FFFBE599"/>
          <bgColor rgb="FF000000"/>
        </patternFill>
      </fill>
    </dxf>
    <dxf>
      <fill>
        <patternFill patternType="solid">
          <fgColor rgb="FFFCDDA0"/>
          <bgColor rgb="FF000000"/>
        </patternFill>
      </fill>
    </dxf>
    <dxf>
      <fill>
        <patternFill patternType="solid">
          <fgColor rgb="FFFDDE9F"/>
          <bgColor rgb="FF000000"/>
        </patternFill>
      </fill>
    </dxf>
    <dxf>
      <fill>
        <patternFill patternType="solid">
          <fgColor rgb="FFFDE09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9" min="1" max="1"/>
    <col width="110" customWidth="1" style="39" min="2" max="2"/>
  </cols>
  <sheetData>
    <row r="1" ht="15.75" customHeight="1" s="40">
      <c r="A1" s="41" t="inlineStr">
        <is>
          <t>Priorización RICE y Backlog — Agente de sugerencias estilísticas para Innosoft</t>
        </is>
      </c>
    </row>
    <row r="2" ht="15" customHeight="1" s="40">
      <c r="A2" s="42" t="inlineStr">
        <is>
          <t>Versión 1.1 · 29-sep-2026 (replanificación) · Versión 1.0 · 11-sep-2026 · Documento asociado: catalogo_requisitos_innosoft.md</t>
        </is>
      </c>
    </row>
    <row r="4" ht="15" customHeight="1" s="40">
      <c r="A4" s="43" t="inlineStr">
        <is>
          <t>Hoja</t>
        </is>
      </c>
      <c r="B4" s="43" t="inlineStr">
        <is>
          <t>Contenido</t>
        </is>
      </c>
    </row>
    <row r="5" ht="23.25" customHeight="1" s="40">
      <c r="A5" s="44" t="inlineStr">
        <is>
          <t>RICE</t>
        </is>
      </c>
      <c r="B5" s="45" t="inlineStr">
        <is>
          <t>Todas las historias del backlog con Reach, Impact, Confidence y Effort. El Score se calcula con fórmula. Las celdas azules son entradas editables; al cambiarlas, Score y Ranking se recalculan.</t>
        </is>
      </c>
    </row>
    <row r="6" ht="23.25" customHeight="1" s="40">
      <c r="A6" s="44" t="inlineStr">
        <is>
          <t>Sprint 1</t>
        </is>
      </c>
      <c r="B6" s="45" t="inlineStr">
        <is>
          <t>Registro del Sprint 1 (14 al 25 de septiembre): lo comprometido y su resultado real.</t>
        </is>
      </c>
    </row>
    <row r="7" ht="15" customHeight="1" s="40">
      <c r="A7" s="44" t="inlineStr">
        <is>
          <t>Tareas Sprint 1</t>
        </is>
      </c>
      <c r="B7" s="45" t="inlineStr">
        <is>
          <t>Sprint Backlog: tareas por historia con estado editable (Pendiente / En curso / Hecho). El avance del sprint se calcula con fórmula.</t>
        </is>
      </c>
    </row>
    <row r="8" ht="15" customHeight="1" s="40">
      <c r="A8" s="44" t="inlineStr">
        <is>
          <t>Calendario</t>
        </is>
      </c>
      <c r="B8" s="45" t="inlineStr">
        <is>
          <t>Sprints de 2 semanas, tema de cada uno según el Capítulo III y eventos Scrum del Sprint 1.</t>
        </is>
      </c>
    </row>
    <row r="9" ht="15" customHeight="1" s="40">
      <c r="A9" s="44" t="inlineStr">
        <is>
          <t>Replan 29-sep</t>
        </is>
      </c>
      <c r="B9" s="45" t="inlineStr">
        <is>
          <t>Replanificación: plan por sprint, alcances reducidos, historias sacadas del plan, orden de recorte y puntos de control.</t>
        </is>
      </c>
    </row>
    <row r="10" ht="15" customHeight="1" s="40">
      <c r="A10" s="44" t="inlineStr">
        <is>
          <t>Sprint 2</t>
        </is>
      </c>
      <c r="B10" s="45" t="inlineStr">
        <is>
          <t>Historias comprometidas para el Sprint 2 (28-sep al 9-oct), con el objetivo original del Sprint 1.</t>
        </is>
      </c>
    </row>
    <row r="11" ht="15" customHeight="1" s="40">
      <c r="A11" s="44" t="inlineStr">
        <is>
          <t>Tareas Sprint 2</t>
        </is>
      </c>
      <c r="B11" s="45" t="inlineStr">
        <is>
          <t>Sprint Backlog del Sprint 2 con estado editable y avance calculado.</t>
        </is>
      </c>
    </row>
    <row r="12" ht="15" customHeight="1" s="40">
      <c r="A12" s="45" t="n"/>
      <c r="B12" s="45" t="n"/>
    </row>
    <row r="13" ht="15" customHeight="1" s="40">
      <c r="A13" s="46" t="inlineStr">
        <is>
          <t>Escalas RICE</t>
        </is>
      </c>
      <c r="B13" s="46" t="inlineStr">
        <is>
          <t>Definición</t>
        </is>
      </c>
    </row>
    <row r="14" ht="15" customHeight="1" s="40">
      <c r="A14" s="44" t="inlineStr">
        <is>
          <t>Reach (R)</t>
        </is>
      </c>
      <c r="B14" s="45" t="inlineStr">
        <is>
          <t>Porcentaje de envíos a Innosoft en un semestre que se beneficiarían de la historia (0 a 100).</t>
        </is>
      </c>
    </row>
    <row r="15" ht="15" customHeight="1" s="40">
      <c r="A15" s="44" t="inlineStr">
        <is>
          <t>Impact (I)</t>
        </is>
      </c>
      <c r="B15" s="45" t="inlineStr">
        <is>
          <t>3 = masivo · 2 = alto · 1 = medio · 0,5 = bajo · 0,25 = mínimo.</t>
        </is>
      </c>
    </row>
    <row r="16" ht="15" customHeight="1" s="40">
      <c r="A16" s="44" t="inlineStr">
        <is>
          <t>Confidence (C)</t>
        </is>
      </c>
      <c r="B16" s="45" t="inlineStr">
        <is>
          <t>1,00 = alta (100 %) · 0,80 = media · 0,50 = baja. Refleja incertidumbre técnica o de requisitos.</t>
        </is>
      </c>
    </row>
    <row r="17" ht="15" customHeight="1" s="40">
      <c r="A17" s="44" t="inlineStr">
        <is>
          <t>Effort (E)</t>
        </is>
      </c>
      <c r="B17" s="45" t="inlineStr">
        <is>
          <t>Esfuerzo relativo entre historias: 0,25 = trivial … 2,00 = la historia más grande del backlog. No representa horas ni dedicación.</t>
        </is>
      </c>
    </row>
    <row r="18" ht="15" customHeight="1" s="40">
      <c r="A18" s="44" t="inlineStr">
        <is>
          <t>Score</t>
        </is>
      </c>
      <c r="B18" s="45" t="inlineStr">
        <is>
          <t>Score = R × I × C / E. Mayor score = mayor prioridad.</t>
        </is>
      </c>
    </row>
    <row r="19" ht="15" customHeight="1" s="40">
      <c r="A19" s="44" t="inlineStr">
        <is>
          <t>Release</t>
        </is>
      </c>
      <c r="B19" s="45" t="inlineStr">
        <is>
          <t>R1 = MVP (Sprints 1-5; tras la replanificación, Sprints 2-5) · R2 = mejoras (después de la tesis) · R3 = trabajo futuro.</t>
        </is>
      </c>
    </row>
    <row r="20" ht="15" customHeight="1" s="40">
      <c r="A20" s="45" t="n"/>
      <c r="B20" s="45" t="n"/>
    </row>
    <row r="21" ht="15" customHeight="1" s="40">
      <c r="A21" s="44" t="inlineStr">
        <is>
          <t>Colores</t>
        </is>
      </c>
      <c r="B21" s="45" t="inlineStr">
        <is>
          <t>Azul = entrada editable · Negro = fórmula · Fondo amarillo = celda que debe actualizar el equipo.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4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9" min="1" max="1"/>
    <col width="26" customWidth="1" style="39" min="2" max="2"/>
    <col width="12" customWidth="1" style="39" min="3" max="4"/>
    <col width="60" customWidth="1" style="39" min="5" max="5"/>
    <col width="14" customWidth="1" style="39" min="6" max="6"/>
    <col width="50" customWidth="1" style="39" min="7" max="7"/>
  </cols>
  <sheetData>
    <row r="1" ht="15.75" customHeight="1" s="40">
      <c r="A1" s="47" t="inlineStr">
        <is>
          <t>Replanificación del 29-sep-2026</t>
        </is>
      </c>
    </row>
    <row r="2" ht="15" customHeight="1" s="40">
      <c r="A2" s="48" t="inlineStr">
        <is>
          <t>Motivo: el Sprint 1 (14–25 sep) produjo especificación y diseño, pero no código. Quedan 5 sprints (2 a 6) hasta el 4-dic.</t>
        </is>
      </c>
    </row>
    <row r="4" ht="15" customHeight="1" s="40">
      <c r="A4" s="49" t="inlineStr">
        <is>
          <t>1. Plan por sprint</t>
        </is>
      </c>
    </row>
    <row r="5" ht="15" customHeight="1" s="40">
      <c r="A5" s="50" t="inlineStr">
        <is>
          <t>Sprint</t>
        </is>
      </c>
      <c r="B5" s="50" t="inlineStr">
        <is>
          <t>Fechas</t>
        </is>
      </c>
      <c r="C5" s="50" t="inlineStr">
        <is>
          <t>Inicio</t>
        </is>
      </c>
      <c r="D5" s="50" t="inlineStr">
        <is>
          <t>Fin</t>
        </is>
      </c>
      <c r="E5" s="50" t="inlineStr">
        <is>
          <t>Historias</t>
        </is>
      </c>
      <c r="F5" s="50" t="inlineStr">
        <is>
          <t>Effort RICE</t>
        </is>
      </c>
      <c r="G5" s="50" t="inlineStr">
        <is>
          <t>Meta</t>
        </is>
      </c>
    </row>
    <row r="6" ht="15" customHeight="1" s="40">
      <c r="A6" s="51" t="n">
        <v>2</v>
      </c>
      <c r="B6" s="52">
        <f>TEXT(C6,"dd-mmm")&amp;" al "&amp;TEXT(D6,"dd-mmm")</f>
        <v/>
      </c>
      <c r="C6" s="53" t="n">
        <v>46294</v>
      </c>
      <c r="D6" s="53" t="n">
        <v>46304</v>
      </c>
      <c r="E6" s="45" t="inlineStr">
        <is>
          <t>US-00, US-01, US-04, US-09, US-06, US-10</t>
        </is>
      </c>
      <c r="F6" s="54">
        <f>SUMIF(RICE!$K$5:$K$40,A6,RICE!$G$5:$G$40)+0.5</f>
        <v/>
      </c>
      <c r="G6" s="45" t="inlineStr">
        <is>
          <t>Walking skeleton en Docker con RE-20/RE-21</t>
        </is>
      </c>
    </row>
    <row r="7" ht="23.25" customHeight="1" s="40">
      <c r="A7" s="51" t="n">
        <v>3</v>
      </c>
      <c r="B7" s="52">
        <f>TEXT(C7,"dd-mmm")&amp;" al "&amp;TEXT(D7,"dd-mmm")</f>
        <v/>
      </c>
      <c r="C7" s="53" t="n">
        <v>46307</v>
      </c>
      <c r="D7" s="53" t="n">
        <v>46318</v>
      </c>
      <c r="E7" s="45" t="inlineStr">
        <is>
          <t>US-03, US-05*, US-07, US-08*, US-11*, US-12, US-13* + spike OJS</t>
        </is>
      </c>
      <c r="F7" s="54">
        <f>SUMIF(RICE!$K$5:$K$40,A7,RICE!$G$5:$G$40)</f>
        <v/>
      </c>
      <c r="G7" s="45" t="inlineStr">
        <is>
          <t>Citas y referencias IEEE detectadas; decisión técnica sobre OJS</t>
        </is>
      </c>
    </row>
    <row r="8" ht="23.25" customHeight="1" s="40">
      <c r="A8" s="51" t="n">
        <v>4</v>
      </c>
      <c r="B8" s="52">
        <f>TEXT(C8,"dd-mmm")&amp;" al "&amp;TEXT(D8,"dd-mmm")</f>
        <v/>
      </c>
      <c r="C8" s="53" t="n">
        <v>46321</v>
      </c>
      <c r="D8" s="53" t="n">
        <v>46332</v>
      </c>
      <c r="E8" s="45" t="inlineStr">
        <is>
          <t>US-17, US-15, US-16, US-18*, US-28, US-19, US-20</t>
        </is>
      </c>
      <c r="F8" s="54">
        <f>SUMIF(RICE!$K$5:$K$40,A8,RICE!$G$5:$G$40)</f>
        <v/>
      </c>
      <c r="G8" s="45" t="inlineStr">
        <is>
          <t>Sugerencias con Gemini anonimizadas y visibles para el editor</t>
        </is>
      </c>
    </row>
    <row r="9" ht="23.25" customHeight="1" s="40">
      <c r="A9" s="51" t="n">
        <v>5</v>
      </c>
      <c r="B9" s="52">
        <f>TEXT(C9,"dd-mmm")&amp;" al "&amp;TEXT(D9,"dd-mmm")</f>
        <v/>
      </c>
      <c r="C9" s="53" t="n">
        <v>46335</v>
      </c>
      <c r="D9" s="53" t="n">
        <v>46346</v>
      </c>
      <c r="E9" s="45" t="inlineStr">
        <is>
          <t>US-21, US-24, US-02</t>
        </is>
      </c>
      <c r="F9" s="54">
        <f>SUMIF(RICE!$K$5:$K$40,A9,RICE!$G$5:$G$40)</f>
        <v/>
      </c>
      <c r="G9" s="45" t="inlineStr">
        <is>
          <t>Flujo completo: OJS → agente → editor → comentario en OJS</t>
        </is>
      </c>
    </row>
    <row r="10" ht="23.25" customHeight="1" s="40">
      <c r="A10" s="51" t="n">
        <v>6</v>
      </c>
      <c r="B10" s="52">
        <f>TEXT(C10,"dd-mmm")&amp;" al "&amp;TEXT(D10,"dd-mmm")</f>
        <v/>
      </c>
      <c r="C10" s="53" t="n">
        <v>46349</v>
      </c>
      <c r="D10" s="53" t="n">
        <v>46360</v>
      </c>
      <c r="E10" s="45" t="inlineStr">
        <is>
          <t>Sin historias nuevas</t>
        </is>
      </c>
      <c r="F10" s="54">
        <f>SUMIF(RICE!$K$5:$K$40,A10,RICE!$G$5:$G$40)</f>
        <v/>
      </c>
      <c r="G10" s="45" t="inlineStr">
        <is>
          <t>Buffer, evaluación (precisión, recall, F1, aceptación), manuales, tesis</t>
        </is>
      </c>
    </row>
    <row r="11" ht="15" customHeight="1" s="40">
      <c r="E11" s="44" t="inlineStr">
        <is>
          <t>Total R1 planificado (effort RICE)</t>
        </is>
      </c>
      <c r="F11" s="55">
        <f>SUM(F6:F10)</f>
        <v/>
      </c>
    </row>
    <row r="12" ht="15" customHeight="1" s="40">
      <c r="E12" s="45" t="inlineStr">
        <is>
          <t>Promedio por sprint de desarrollo (2 a 5)</t>
        </is>
      </c>
      <c r="F12" s="54">
        <f>AVERAGE(F6:F9)</f>
        <v/>
      </c>
    </row>
    <row r="13" ht="21.75" customHeight="1" s="40">
      <c r="E13" s="45" t="inlineStr">
        <is>
          <t>Referencia: plan original, promedio por sprint (dato del plan del 11-sep)</t>
        </is>
      </c>
      <c r="F13" s="56" t="n">
        <v>3.75</v>
      </c>
      <c r="G13" s="57" t="inlineStr">
        <is>
          <t>22,5 unidades RICE en 6 sprints (plan original); introducido a mano, no se recalcula.</t>
        </is>
      </c>
    </row>
    <row r="14" ht="15" customHeight="1" s="40">
      <c r="E14" s="44" t="inlineStr">
        <is>
          <t>Carga extra vs. plan original</t>
        </is>
      </c>
      <c r="F14" s="58">
        <f>IF(F13&gt;0,F12/F13-1,0)</f>
        <v/>
      </c>
    </row>
    <row r="15" ht="15" customHeight="1" s="40">
      <c r="A15" s="48" t="inlineStr">
        <is>
          <t>* Alcance reducido: ver sección 2. El effort RICE no se reduce para no alterar el ranking; la reducción es margen de seguridad.</t>
        </is>
      </c>
    </row>
    <row r="17" ht="15" customHeight="1" s="40">
      <c r="A17" s="49" t="inlineStr">
        <is>
          <t>2. Historias con alcance reducido (MVP de tesis)</t>
        </is>
      </c>
    </row>
    <row r="18" ht="15" customHeight="1" s="40">
      <c r="A18" s="50" t="inlineStr">
        <is>
          <t>ID</t>
        </is>
      </c>
      <c r="B18" s="50" t="inlineStr">
        <is>
          <t>Historia</t>
        </is>
      </c>
      <c r="C18" s="50" t="n"/>
      <c r="D18" s="50" t="n"/>
      <c r="E18" s="50" t="inlineStr">
        <is>
          <t>Qué entra en el MVP / qué pasa a R2</t>
        </is>
      </c>
    </row>
    <row r="19" ht="23.25" customHeight="1" s="40">
      <c r="A19" s="45" t="inlineStr">
        <is>
          <t>US-05</t>
        </is>
      </c>
      <c r="B19" s="45" t="inlineStr">
        <is>
          <t>Detectar secciones IMRyD</t>
        </is>
      </c>
      <c r="E19" s="45" t="inlineStr">
        <is>
          <t>Alcance MVP: solo Resumen, Palabras clave y Referencias; diccionario completo de variantes en R2.</t>
        </is>
      </c>
    </row>
    <row r="20" ht="23.25" customHeight="1" s="40">
      <c r="A20" s="45" t="inlineStr">
        <is>
          <t>US-08</t>
        </is>
      </c>
      <c r="B20" s="45" t="inlineStr">
        <is>
          <t>Extraer lista de referencias</t>
        </is>
      </c>
      <c r="E20" s="45" t="inlineStr">
        <is>
          <t>Alcance MVP: segmentación y numeración de entradas; parseo por campos en R2.</t>
        </is>
      </c>
    </row>
    <row r="21" ht="15" customHeight="1" s="40">
      <c r="A21" s="45" t="inlineStr">
        <is>
          <t>US-11</t>
        </is>
      </c>
      <c r="B21" s="45" t="inlineStr">
        <is>
          <t>Validar figuras: pie, numeración, orden (RE-23..25)</t>
        </is>
      </c>
      <c r="E21" s="45" t="inlineStr">
        <is>
          <t>Alcance MVP: RE-23 y RE-24; RE-25 (mención en el texto) en R2.</t>
        </is>
      </c>
    </row>
    <row r="22" ht="23.25" customHeight="1" s="40">
      <c r="A22" s="45" t="inlineStr">
        <is>
          <t>US-13</t>
        </is>
      </c>
      <c r="B22" s="45" t="inlineStr">
        <is>
          <t>Validar referencias IEEE (RE-44..49)</t>
        </is>
      </c>
      <c r="E22" s="45" t="inlineStr">
        <is>
          <t>Alcance MVP: RE-44, RE-46, RE-47 y RE-49; patrón IEEE por tipo (RE-45) y RE-48 en R2.</t>
        </is>
      </c>
    </row>
    <row r="23" ht="23.25" customHeight="1" s="40">
      <c r="A23" s="45" t="inlineStr">
        <is>
          <t>US-18</t>
        </is>
      </c>
      <c r="B23" s="45" t="inlineStr">
        <is>
          <t>Reintentos, límite de tokens y fallback</t>
        </is>
      </c>
      <c r="E23" s="45" t="inlineStr">
        <is>
          <t>Alcance MVP: reintentos con backoff y fallback; presupuesto de tokens en R2.</t>
        </is>
      </c>
    </row>
    <row r="25" ht="15" customHeight="1" s="40">
      <c r="A25" s="49" t="inlineStr">
        <is>
          <t>3. Sacadas del plan (quedan en el backlog para después de la tesis)</t>
        </is>
      </c>
    </row>
    <row r="26" ht="15" customHeight="1" s="40">
      <c r="A26" s="50" t="inlineStr">
        <is>
          <t>ID</t>
        </is>
      </c>
      <c r="B26" s="50" t="inlineStr">
        <is>
          <t>Historia</t>
        </is>
      </c>
      <c r="C26" s="50" t="inlineStr">
        <is>
          <t>Release</t>
        </is>
      </c>
      <c r="D26" s="50" t="inlineStr">
        <is>
          <t>Antes</t>
        </is>
      </c>
      <c r="E26" s="50" t="inlineStr">
        <is>
          <t>Motivo</t>
        </is>
      </c>
    </row>
    <row r="27" ht="23.25" customHeight="1" s="40">
      <c r="A27" s="45" t="inlineStr">
        <is>
          <t>US-14</t>
        </is>
      </c>
      <c r="B27" s="45" t="inlineStr">
        <is>
          <t>Validar estructura, resumen y palabras clave (RE-01..15)</t>
        </is>
      </c>
      <c r="C27" s="52">
        <f>RICE!J34</f>
        <v/>
      </c>
      <c r="D27" s="45" t="inlineStr">
        <is>
          <t>Sprint 3</t>
        </is>
      </c>
      <c r="E27" s="45" t="inlineStr">
        <is>
          <t>Reglas de estructura con alto componente LLM; se prioriza figuras y referencias.</t>
        </is>
      </c>
    </row>
    <row r="28" ht="23.25" customHeight="1" s="40">
      <c r="A28" s="45" t="inlineStr">
        <is>
          <t>US-29</t>
        </is>
      </c>
      <c r="B28" s="45" t="inlineStr">
        <is>
          <t>Registro de consumo y latencia de Gemini</t>
        </is>
      </c>
      <c r="C28" s="52">
        <f>RICE!J16</f>
        <v/>
      </c>
      <c r="D28" s="45" t="inlineStr">
        <is>
          <t>Sprint 4</t>
        </is>
      </c>
      <c r="E28" s="45" t="inlineStr">
        <is>
          <t>US-28 cubre la medición necesaria para RNF-03.</t>
        </is>
      </c>
    </row>
    <row r="29" ht="15" customHeight="1" s="40">
      <c r="A29" s="45" t="inlineStr">
        <is>
          <t>US-22</t>
        </is>
      </c>
      <c r="B29" s="45" t="inlineStr">
        <is>
          <t>Agregar sugerencia manual</t>
        </is>
      </c>
      <c r="C29" s="52">
        <f>RICE!J29</f>
        <v/>
      </c>
      <c r="D29" s="45" t="inlineStr">
        <is>
          <t>Sprint 6</t>
        </is>
      </c>
      <c r="E29" s="45" t="inlineStr">
        <is>
          <t>Sprint 6 se dedica a evaluación.</t>
        </is>
      </c>
    </row>
    <row r="30" ht="23.25" customHeight="1" s="40">
      <c r="A30" s="45" t="inlineStr">
        <is>
          <t>US-23</t>
        </is>
      </c>
      <c r="B30" s="45" t="inlineStr">
        <is>
          <t>Marcar manuscrito como "sin observaciones"</t>
        </is>
      </c>
      <c r="C30" s="52">
        <f>RICE!J32</f>
        <v/>
      </c>
      <c r="D30" s="45" t="inlineStr">
        <is>
          <t>Sprint 6</t>
        </is>
      </c>
      <c r="E30" s="45" t="inlineStr">
        <is>
          <t>Solo si sobra capacidad (0,25).</t>
        </is>
      </c>
    </row>
    <row r="31" ht="23.25" customHeight="1" s="40">
      <c r="A31" s="45" t="inlineStr">
        <is>
          <t>US-25</t>
        </is>
      </c>
      <c r="B31" s="45" t="inlineStr">
        <is>
          <t>Reintento y cola si OJS no responde</t>
        </is>
      </c>
      <c r="C31" s="52">
        <f>RICE!J38</f>
        <v/>
      </c>
      <c r="D31" s="45" t="inlineStr">
        <is>
          <t>Sprint 6</t>
        </is>
      </c>
      <c r="E31" s="45" t="inlineStr">
        <is>
          <t>Riesgo bajo (Reach 5).</t>
        </is>
      </c>
    </row>
    <row r="32" ht="23.25" customHeight="1" s="40">
      <c r="A32" s="45" t="inlineStr">
        <is>
          <t>US-27</t>
        </is>
      </c>
      <c r="B32" s="45" t="inlineStr">
        <is>
          <t>Notificar al editor por correo OJS</t>
        </is>
      </c>
      <c r="C32" s="52">
        <f>RICE!J27</f>
        <v/>
      </c>
      <c r="D32" s="45" t="inlineStr">
        <is>
          <t>Sprint 6</t>
        </is>
      </c>
      <c r="E32" s="45" t="inlineStr">
        <is>
          <t>El editor usa la cola de revisión.</t>
        </is>
      </c>
    </row>
    <row r="34" ht="15" customHeight="1" s="40">
      <c r="A34" s="49" t="inlineStr">
        <is>
          <t>4. Orden de recorte si vuelve a haber retraso</t>
        </is>
      </c>
    </row>
    <row r="35" ht="15" customHeight="1" s="40">
      <c r="A35" s="51" t="n">
        <v>1</v>
      </c>
      <c r="B35" s="45" t="inlineStr">
        <is>
          <t>US-02 (plugin): disparar el análisis manualmente vía POST /manuscripts; se mantiene la publicación en OJS (US-24).</t>
        </is>
      </c>
    </row>
    <row r="36" ht="15" customHeight="1" s="40">
      <c r="A36" s="51" t="n">
        <v>2</v>
      </c>
      <c r="B36" s="45" t="inlineStr">
        <is>
          <t>US-11 completa pasa a R2 (se pierde RE-23/RE-24).</t>
        </is>
      </c>
    </row>
    <row r="37" ht="15" customHeight="1" s="40">
      <c r="A37" s="51" t="n">
        <v>3</v>
      </c>
      <c r="B37" s="45" t="inlineStr">
        <is>
          <t>US-13 se limita a RE-44 y RE-46.</t>
        </is>
      </c>
    </row>
    <row r="38" ht="15" customHeight="1" s="40">
      <c r="A38" s="51" t="n">
        <v>4</v>
      </c>
      <c r="B38" s="45" t="inlineStr">
        <is>
          <t>US-20 muestra evidencia solo en texto (sin miniaturas).</t>
        </is>
      </c>
    </row>
    <row r="39" ht="15" customHeight="1" s="40">
      <c r="A39" s="51" t="n">
        <v>5</v>
      </c>
      <c r="B39" s="45" t="inlineStr">
        <is>
          <t>Si el 9-oct no hay walking skeleton: reunión con el asesor para redefinir el alcance de la tesis.</t>
        </is>
      </c>
    </row>
    <row r="41" ht="15" customHeight="1" s="40">
      <c r="A41" s="49" t="inlineStr">
        <is>
          <t>5. Puntos de control</t>
        </is>
      </c>
    </row>
    <row r="42" ht="15" customHeight="1" s="40">
      <c r="A42" s="50" t="inlineStr">
        <is>
          <t>Fecha</t>
        </is>
      </c>
      <c r="B42" s="50" t="n"/>
      <c r="C42" s="50" t="n"/>
      <c r="E42" s="50" t="inlineStr">
        <is>
          <t>Qué debe existir</t>
        </is>
      </c>
    </row>
    <row r="43" ht="15" customHeight="1" s="40">
      <c r="A43" s="59" t="n">
        <v>46295</v>
      </c>
      <c r="C43" s="45" t="inlineStr">
        <is>
          <t>Specs del Sprint 2 aprobadas (00-producto, formato-reglas, US-00/01/04/06/09/10).</t>
        </is>
      </c>
    </row>
    <row r="44" ht="15" customHeight="1" s="40">
      <c r="A44" s="59" t="n">
        <v>46297</v>
      </c>
      <c r="C44" s="45" t="inlineStr">
        <is>
          <t>Repositorio con CI verde y docker compose up funcionando.</t>
        </is>
      </c>
    </row>
    <row r="45" ht="15" customHeight="1" s="40">
      <c r="A45" s="59" t="n">
        <v>46304</v>
      </c>
      <c r="C45" s="45" t="inlineStr">
        <is>
          <t>Demo del walking skeleton (Sprint Review 2).</t>
        </is>
      </c>
    </row>
    <row r="46" ht="15" customHeight="1" s="40">
      <c r="A46" s="59" t="n">
        <v>46318</v>
      </c>
      <c r="C46" s="45" t="inlineStr">
        <is>
          <t>Hallazgos de citas y referencias; decisión sobre la API de OJS.</t>
        </is>
      </c>
    </row>
    <row r="47" ht="15" customHeight="1" s="40">
      <c r="A47" s="59" t="n">
        <v>46332</v>
      </c>
      <c r="C47" s="45" t="inlineStr">
        <is>
          <t>Sugerencias Gemini anonimizadas visibles en la cola.</t>
        </is>
      </c>
    </row>
    <row r="48" ht="15" customHeight="1" s="40">
      <c r="A48" s="59" t="n">
        <v>46346</v>
      </c>
      <c r="C48" s="45" t="inlineStr">
        <is>
          <t>Congelamiento de código: flujo completo en OJS de prueba.</t>
        </is>
      </c>
    </row>
    <row r="49" ht="15" customHeight="1" s="40">
      <c r="A49" s="59" t="n">
        <v>46360</v>
      </c>
      <c r="C49" s="45" t="inlineStr">
        <is>
          <t>Evaluación y documentación final.</t>
        </is>
      </c>
    </row>
  </sheetData>
  <mergeCells count="24">
    <mergeCell ref="A48:B48"/>
    <mergeCell ref="C49:G49"/>
    <mergeCell ref="B23:D23"/>
    <mergeCell ref="A49:B49"/>
    <mergeCell ref="A45:B45"/>
    <mergeCell ref="C45:G45"/>
    <mergeCell ref="B38:G38"/>
    <mergeCell ref="B19:D19"/>
    <mergeCell ref="B37:G37"/>
    <mergeCell ref="C47:G47"/>
    <mergeCell ref="C44:G44"/>
    <mergeCell ref="A46:B46"/>
    <mergeCell ref="B20:D20"/>
    <mergeCell ref="C43:G43"/>
    <mergeCell ref="B36:G36"/>
    <mergeCell ref="C46:G46"/>
    <mergeCell ref="A47:B47"/>
    <mergeCell ref="B35:G35"/>
    <mergeCell ref="C48:G48"/>
    <mergeCell ref="A43:B43"/>
    <mergeCell ref="B22:D22"/>
    <mergeCell ref="A44:B44"/>
    <mergeCell ref="B21:D21"/>
    <mergeCell ref="B39:G3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39" min="1" max="1"/>
    <col width="17" customWidth="1" style="39" min="2" max="2"/>
    <col width="52" customWidth="1" style="39" min="3" max="3"/>
    <col width="12" customWidth="1" style="39" min="4" max="4"/>
    <col width="9" customWidth="1" style="39" min="5" max="5"/>
    <col width="11" customWidth="1" style="39" min="6" max="6"/>
    <col width="9" customWidth="1" style="39" min="7" max="10"/>
    <col width="12" customWidth="1" style="39" min="11" max="11"/>
    <col width="55" customWidth="1" style="39" min="12" max="12"/>
  </cols>
  <sheetData>
    <row r="1" ht="15.75" customHeight="1" s="40">
      <c r="A1" s="41" t="inlineStr">
        <is>
          <t>Priorización RICE del Product Backlog</t>
        </is>
      </c>
    </row>
    <row r="2" ht="15" customHeight="1" s="40">
      <c r="A2" s="42" t="inlineStr">
        <is>
          <t>Score = Reach × Impact × Confidence / Effort. Edite solo las celdas azules. Columna 'Sprint previsto' actualizada en la replanificación del 29-sep-2026 (ver hoja 'Replan 29-sep').</t>
        </is>
      </c>
    </row>
    <row r="4" ht="23.25" customHeight="1" s="40">
      <c r="A4" s="43" t="inlineStr">
        <is>
          <t>ID</t>
        </is>
      </c>
      <c r="B4" s="43" t="inlineStr">
        <is>
          <t>Épica</t>
        </is>
      </c>
      <c r="C4" s="43" t="inlineStr">
        <is>
          <t>Historia</t>
        </is>
      </c>
      <c r="D4" s="43" t="inlineStr">
        <is>
          <t>Reach (0-100)</t>
        </is>
      </c>
      <c r="E4" s="43" t="inlineStr">
        <is>
          <t>Impact</t>
        </is>
      </c>
      <c r="F4" s="43" t="inlineStr">
        <is>
          <t>Confidence</t>
        </is>
      </c>
      <c r="G4" s="43" t="inlineStr">
        <is>
          <t>Effort</t>
        </is>
      </c>
      <c r="H4" s="43" t="inlineStr">
        <is>
          <t>Score</t>
        </is>
      </c>
      <c r="I4" s="43" t="inlineStr">
        <is>
          <t>Ranking</t>
        </is>
      </c>
      <c r="J4" s="43" t="inlineStr">
        <is>
          <t>Release</t>
        </is>
      </c>
      <c r="K4" s="43" t="inlineStr">
        <is>
          <t>Sprint previsto</t>
        </is>
      </c>
      <c r="L4" s="43" t="inlineStr">
        <is>
          <t>Justificación breve</t>
        </is>
      </c>
    </row>
    <row r="5" ht="15" customHeight="1" s="40">
      <c r="A5" s="60" t="inlineStr">
        <is>
          <t>US-01</t>
        </is>
      </c>
      <c r="B5" s="60" t="inlineStr">
        <is>
          <t>A. Recepción</t>
        </is>
      </c>
      <c r="C5" s="61" t="inlineStr">
        <is>
          <t>Recibir PDF por API</t>
        </is>
      </c>
      <c r="D5" s="62" t="n">
        <v>100</v>
      </c>
      <c r="E5" s="63" t="n">
        <v>3</v>
      </c>
      <c r="F5" s="64" t="n">
        <v>1</v>
      </c>
      <c r="G5" s="63" t="n">
        <v>0.5</v>
      </c>
      <c r="H5" s="65">
        <f>IF(G5&gt;0,D5*E5*F5/G5,0)</f>
        <v/>
      </c>
      <c r="I5" s="60">
        <f>RANK(H5,$H$5:$H$40,0)</f>
        <v/>
      </c>
      <c r="J5" s="62" t="inlineStr">
        <is>
          <t>R1</t>
        </is>
      </c>
      <c r="K5" s="62" t="n">
        <v>2</v>
      </c>
      <c r="L5" s="61" t="inlineStr">
        <is>
          <t>Punto de entrada de todo el flujo.</t>
        </is>
      </c>
    </row>
    <row r="6" ht="15" customHeight="1" s="40">
      <c r="A6" s="60" t="inlineStr">
        <is>
          <t>US-04</t>
        </is>
      </c>
      <c r="B6" s="60" t="inlineStr">
        <is>
          <t>B. Extracción</t>
        </is>
      </c>
      <c r="C6" s="61" t="inlineStr">
        <is>
          <t>Extraer texto y páginas</t>
        </is>
      </c>
      <c r="D6" s="62" t="n">
        <v>100</v>
      </c>
      <c r="E6" s="63" t="n">
        <v>3</v>
      </c>
      <c r="F6" s="64" t="n">
        <v>1</v>
      </c>
      <c r="G6" s="63" t="n">
        <v>0.5</v>
      </c>
      <c r="H6" s="65">
        <f>IF(G6&gt;0,D6*E6*F6/G6,0)</f>
        <v/>
      </c>
      <c r="I6" s="60">
        <f>RANK(H6,$H$5:$H$40,0)</f>
        <v/>
      </c>
      <c r="J6" s="62" t="inlineStr">
        <is>
          <t>R1</t>
        </is>
      </c>
      <c r="K6" s="62" t="n">
        <v>2</v>
      </c>
      <c r="L6" s="61" t="inlineStr">
        <is>
          <t>Sin texto no hay reglas.</t>
        </is>
      </c>
    </row>
    <row r="7" ht="15" customHeight="1" s="40">
      <c r="A7" s="60" t="inlineStr">
        <is>
          <t>US-09</t>
        </is>
      </c>
      <c r="B7" s="60" t="inlineStr">
        <is>
          <t>C. Validación</t>
        </is>
      </c>
      <c r="C7" s="61" t="inlineStr">
        <is>
          <t>Cargar reglas Innosoft desde YAML</t>
        </is>
      </c>
      <c r="D7" s="62" t="n">
        <v>100</v>
      </c>
      <c r="E7" s="63" t="n">
        <v>3</v>
      </c>
      <c r="F7" s="64" t="n">
        <v>1</v>
      </c>
      <c r="G7" s="63" t="n">
        <v>0.5</v>
      </c>
      <c r="H7" s="65">
        <f>IF(G7&gt;0,D7*E7*F7/G7,0)</f>
        <v/>
      </c>
      <c r="I7" s="60">
        <f>RANK(H7,$H$5:$H$40,0)</f>
        <v/>
      </c>
      <c r="J7" s="62" t="inlineStr">
        <is>
          <t>R1</t>
        </is>
      </c>
      <c r="K7" s="62" t="n">
        <v>2</v>
      </c>
      <c r="L7" s="61" t="inlineStr">
        <is>
          <t>Habilita el motor completo; reglas versionadas.</t>
        </is>
      </c>
    </row>
    <row r="8" ht="15" customHeight="1" s="40">
      <c r="A8" s="60" t="inlineStr">
        <is>
          <t>US-16</t>
        </is>
      </c>
      <c r="B8" s="60" t="inlineStr">
        <is>
          <t>D. Sugerencias</t>
        </is>
      </c>
      <c r="C8" s="61" t="inlineStr">
        <is>
          <t>Validar esquema de respuesta del LLM</t>
        </is>
      </c>
      <c r="D8" s="62" t="n">
        <v>100</v>
      </c>
      <c r="E8" s="63" t="n">
        <v>2</v>
      </c>
      <c r="F8" s="64" t="n">
        <v>1</v>
      </c>
      <c r="G8" s="63" t="n">
        <v>0.5</v>
      </c>
      <c r="H8" s="65">
        <f>IF(G8&gt;0,D8*E8*F8/G8,0)</f>
        <v/>
      </c>
      <c r="I8" s="60">
        <f>RANK(H8,$H$5:$H$40,0)</f>
        <v/>
      </c>
      <c r="J8" s="62" t="inlineStr">
        <is>
          <t>R1</t>
        </is>
      </c>
      <c r="K8" s="62" t="n">
        <v>4</v>
      </c>
      <c r="L8" s="61" t="inlineStr">
        <is>
          <t>Protege la trazabilidad regla→sugerencia.</t>
        </is>
      </c>
    </row>
    <row r="9" ht="15" customHeight="1" s="40">
      <c r="A9" s="60" t="inlineStr">
        <is>
          <t>US-07</t>
        </is>
      </c>
      <c r="B9" s="60" t="inlineStr">
        <is>
          <t>B. Extracción</t>
        </is>
      </c>
      <c r="C9" s="61" t="inlineStr">
        <is>
          <t>Extraer citas en texto [n]</t>
        </is>
      </c>
      <c r="D9" s="62" t="n">
        <v>100</v>
      </c>
      <c r="E9" s="63" t="n">
        <v>2</v>
      </c>
      <c r="F9" s="64" t="n">
        <v>0.8</v>
      </c>
      <c r="G9" s="63" t="n">
        <v>0.5</v>
      </c>
      <c r="H9" s="65">
        <f>IF(G9&gt;0,D9*E9*F9/G9,0)</f>
        <v/>
      </c>
      <c r="I9" s="60">
        <f>RANK(H9,$H$5:$H$40,0)</f>
        <v/>
      </c>
      <c r="J9" s="62" t="inlineStr">
        <is>
          <t>R1</t>
        </is>
      </c>
      <c r="K9" s="62" t="n">
        <v>3</v>
      </c>
      <c r="L9" s="61" t="inlineStr">
        <is>
          <t>Barato y necesario para citas IEEE.</t>
        </is>
      </c>
    </row>
    <row r="10" ht="15" customHeight="1" s="40">
      <c r="A10" s="60" t="inlineStr">
        <is>
          <t>US-17</t>
        </is>
      </c>
      <c r="B10" s="60" t="inlineStr">
        <is>
          <t>D. Sugerencias</t>
        </is>
      </c>
      <c r="C10" s="61" t="inlineStr">
        <is>
          <t>Anonimizar contexto antes de enviar al LLM</t>
        </is>
      </c>
      <c r="D10" s="62" t="n">
        <v>100</v>
      </c>
      <c r="E10" s="63" t="n">
        <v>2</v>
      </c>
      <c r="F10" s="64" t="n">
        <v>0.8</v>
      </c>
      <c r="G10" s="63" t="n">
        <v>0.5</v>
      </c>
      <c r="H10" s="65">
        <f>IF(G10&gt;0,D10*E10*F10/G10,0)</f>
        <v/>
      </c>
      <c r="I10" s="60">
        <f>RANK(H10,$H$5:$H$40,0)</f>
        <v/>
      </c>
      <c r="J10" s="62" t="inlineStr">
        <is>
          <t>R1</t>
        </is>
      </c>
      <c r="K10" s="62" t="n">
        <v>4</v>
      </c>
      <c r="L10" s="61" t="inlineStr">
        <is>
          <t>Requisito legal (Ley 29733).</t>
        </is>
      </c>
    </row>
    <row r="11" ht="15" customHeight="1" s="40">
      <c r="A11" s="60" t="inlineStr">
        <is>
          <t>US-12</t>
        </is>
      </c>
      <c r="B11" s="60" t="inlineStr">
        <is>
          <t>C. Validación</t>
        </is>
      </c>
      <c r="C11" s="61" t="inlineStr">
        <is>
          <t>Validar citas IEEE en texto (RE-40..43)</t>
        </is>
      </c>
      <c r="D11" s="62" t="n">
        <v>80</v>
      </c>
      <c r="E11" s="63" t="n">
        <v>2</v>
      </c>
      <c r="F11" s="64" t="n">
        <v>0.8</v>
      </c>
      <c r="G11" s="63" t="n">
        <v>0.5</v>
      </c>
      <c r="H11" s="65">
        <f>IF(G11&gt;0,D11*E11*F11/G11,0)</f>
        <v/>
      </c>
      <c r="I11" s="60">
        <f>RANK(H11,$H$5:$H$40,0)</f>
        <v/>
      </c>
      <c r="J11" s="62" t="inlineStr">
        <is>
          <t>R1</t>
        </is>
      </c>
      <c r="K11" s="62" t="n">
        <v>3</v>
      </c>
      <c r="L11" s="61" t="inlineStr">
        <is>
          <t>Segundo dolor principal (citas).</t>
        </is>
      </c>
    </row>
    <row r="12" ht="15" customHeight="1" s="40">
      <c r="A12" s="60" t="inlineStr">
        <is>
          <t>US-06</t>
        </is>
      </c>
      <c r="B12" s="60" t="inlineStr">
        <is>
          <t>B. Extracción</t>
        </is>
      </c>
      <c r="C12" s="61" t="inlineStr">
        <is>
          <t>Extraer figuras: posición, tamaño, pie</t>
        </is>
      </c>
      <c r="D12" s="62" t="n">
        <v>90</v>
      </c>
      <c r="E12" s="63" t="n">
        <v>3</v>
      </c>
      <c r="F12" s="64" t="n">
        <v>0.8</v>
      </c>
      <c r="G12" s="63" t="n">
        <v>1</v>
      </c>
      <c r="H12" s="65">
        <f>IF(G12&gt;0,D12*E12*F12/G12,0)</f>
        <v/>
      </c>
      <c r="I12" s="60">
        <f>RANK(H12,$H$5:$H$40,0)</f>
        <v/>
      </c>
      <c r="J12" s="62" t="inlineStr">
        <is>
          <t>R1</t>
        </is>
      </c>
      <c r="K12" s="62" t="n">
        <v>2</v>
      </c>
      <c r="L12" s="61" t="inlineStr">
        <is>
          <t>Dolor principal de la revista (figuras).</t>
        </is>
      </c>
    </row>
    <row r="13" ht="15" customHeight="1" s="40">
      <c r="A13" s="60" t="inlineStr">
        <is>
          <t>US-10</t>
        </is>
      </c>
      <c r="B13" s="60" t="inlineStr">
        <is>
          <t>C. Validación</t>
        </is>
      </c>
      <c r="C13" s="61" t="inlineStr">
        <is>
          <t>Validar figuras: tamaño y proporción (RE-20, RE-21)</t>
        </is>
      </c>
      <c r="D13" s="62" t="n">
        <v>90</v>
      </c>
      <c r="E13" s="63" t="n">
        <v>3</v>
      </c>
      <c r="F13" s="64" t="n">
        <v>0.8</v>
      </c>
      <c r="G13" s="63" t="n">
        <v>1</v>
      </c>
      <c r="H13" s="65">
        <f>IF(G13&gt;0,D13*E13*F13/G13,0)</f>
        <v/>
      </c>
      <c r="I13" s="60">
        <f>RANK(H13,$H$5:$H$40,0)</f>
        <v/>
      </c>
      <c r="J13" s="62" t="inlineStr">
        <is>
          <t>R1</t>
        </is>
      </c>
      <c r="K13" s="62" t="n">
        <v>2</v>
      </c>
      <c r="L13" s="61" t="inlineStr">
        <is>
          <t>Primera regla de valor real para el editor.</t>
        </is>
      </c>
    </row>
    <row r="14" ht="15" customHeight="1" s="40">
      <c r="A14" s="60" t="inlineStr">
        <is>
          <t>US-19</t>
        </is>
      </c>
      <c r="B14" s="60" t="inlineStr">
        <is>
          <t>E. Revisión</t>
        </is>
      </c>
      <c r="C14" s="61" t="inlineStr">
        <is>
          <t>Ver cola de manuscritos pendientes</t>
        </is>
      </c>
      <c r="D14" s="62" t="n">
        <v>100</v>
      </c>
      <c r="E14" s="63" t="n">
        <v>1</v>
      </c>
      <c r="F14" s="64" t="n">
        <v>1</v>
      </c>
      <c r="G14" s="63" t="n">
        <v>0.5</v>
      </c>
      <c r="H14" s="65">
        <f>IF(G14&gt;0,D14*E14*F14/G14,0)</f>
        <v/>
      </c>
      <c r="I14" s="60">
        <f>RANK(H14,$H$5:$H$40,0)</f>
        <v/>
      </c>
      <c r="J14" s="62" t="inlineStr">
        <is>
          <t>R1</t>
        </is>
      </c>
      <c r="K14" s="62" t="n">
        <v>4</v>
      </c>
      <c r="L14" s="61" t="n"/>
    </row>
    <row r="15" ht="15" customHeight="1" s="40">
      <c r="A15" s="60" t="inlineStr">
        <is>
          <t>US-28</t>
        </is>
      </c>
      <c r="B15" s="60" t="inlineStr">
        <is>
          <t>G. Administración</t>
        </is>
      </c>
      <c r="C15" s="61" t="inlineStr">
        <is>
          <t>Registro de ejecución por manuscrito</t>
        </is>
      </c>
      <c r="D15" s="62" t="n">
        <v>100</v>
      </c>
      <c r="E15" s="63" t="n">
        <v>1</v>
      </c>
      <c r="F15" s="64" t="n">
        <v>1</v>
      </c>
      <c r="G15" s="63" t="n">
        <v>0.5</v>
      </c>
      <c r="H15" s="65">
        <f>IF(G15&gt;0,D15*E15*F15/G15,0)</f>
        <v/>
      </c>
      <c r="I15" s="60">
        <f>RANK(H15,$H$5:$H$40,0)</f>
        <v/>
      </c>
      <c r="J15" s="62" t="inlineStr">
        <is>
          <t>R1</t>
        </is>
      </c>
      <c r="K15" s="62" t="n">
        <v>4</v>
      </c>
      <c r="L15" s="61" t="n"/>
    </row>
    <row r="16" ht="15" customHeight="1" s="40">
      <c r="A16" s="60" t="inlineStr">
        <is>
          <t>US-29</t>
        </is>
      </c>
      <c r="B16" s="60" t="inlineStr">
        <is>
          <t>G. Administración</t>
        </is>
      </c>
      <c r="C16" s="61" t="inlineStr">
        <is>
          <t>Registro de consumo y latencia de Gemini</t>
        </is>
      </c>
      <c r="D16" s="62" t="n">
        <v>100</v>
      </c>
      <c r="E16" s="63" t="n">
        <v>0.5</v>
      </c>
      <c r="F16" s="64" t="n">
        <v>1</v>
      </c>
      <c r="G16" s="63" t="n">
        <v>0.25</v>
      </c>
      <c r="H16" s="65">
        <f>IF(G16&gt;0,D16*E16*F16/G16,0)</f>
        <v/>
      </c>
      <c r="I16" s="60">
        <f>RANK(H16,$H$5:$H$40,0)</f>
        <v/>
      </c>
      <c r="J16" s="62" t="inlineStr">
        <is>
          <t>R2</t>
        </is>
      </c>
      <c r="K16" s="62" t="inlineStr">
        <is>
          <t>—</t>
        </is>
      </c>
      <c r="L16" s="61" t="inlineStr">
        <is>
          <t>Sacada del plan el 29-sep (antes Sprint 4); queda en backlog R2.</t>
        </is>
      </c>
    </row>
    <row r="17" ht="15" customHeight="1" s="40">
      <c r="A17" s="60" t="inlineStr">
        <is>
          <t>US-03</t>
        </is>
      </c>
      <c r="B17" s="60" t="inlineStr">
        <is>
          <t>A. Recepción</t>
        </is>
      </c>
      <c r="C17" s="61" t="inlineStr">
        <is>
          <t>Obtener metadatos del envío (sección, título, idioma)</t>
        </is>
      </c>
      <c r="D17" s="62" t="n">
        <v>100</v>
      </c>
      <c r="E17" s="63" t="n">
        <v>1</v>
      </c>
      <c r="F17" s="64" t="n">
        <v>0.8</v>
      </c>
      <c r="G17" s="63" t="n">
        <v>0.5</v>
      </c>
      <c r="H17" s="65">
        <f>IF(G17&gt;0,D17*E17*F17/G17,0)</f>
        <v/>
      </c>
      <c r="I17" s="60">
        <f>RANK(H17,$H$5:$H$40,0)</f>
        <v/>
      </c>
      <c r="J17" s="62" t="inlineStr">
        <is>
          <t>R1</t>
        </is>
      </c>
      <c r="K17" s="62" t="n">
        <v>3</v>
      </c>
      <c r="L17" s="61" t="n"/>
    </row>
    <row r="18" ht="15" customHeight="1" s="40">
      <c r="A18" s="60" t="inlineStr">
        <is>
          <t>US-08</t>
        </is>
      </c>
      <c r="B18" s="60" t="inlineStr">
        <is>
          <t>B. Extracción</t>
        </is>
      </c>
      <c r="C18" s="61" t="inlineStr">
        <is>
          <t>Extraer lista de referencias</t>
        </is>
      </c>
      <c r="D18" s="62" t="n">
        <v>100</v>
      </c>
      <c r="E18" s="63" t="n">
        <v>2</v>
      </c>
      <c r="F18" s="64" t="n">
        <v>0.8</v>
      </c>
      <c r="G18" s="63" t="n">
        <v>1</v>
      </c>
      <c r="H18" s="65">
        <f>IF(G18&gt;0,D18*E18*F18/G18,0)</f>
        <v/>
      </c>
      <c r="I18" s="60">
        <f>RANK(H18,$H$5:$H$40,0)</f>
        <v/>
      </c>
      <c r="J18" s="62" t="inlineStr">
        <is>
          <t>R1</t>
        </is>
      </c>
      <c r="K18" s="62" t="n">
        <v>3</v>
      </c>
      <c r="L18" s="61" t="inlineStr">
        <is>
          <t>Alcance MVP: segmentación y numeración de entradas; parseo por campos en R2. (Replan 29-sep)</t>
        </is>
      </c>
    </row>
    <row r="19" ht="15" customHeight="1" s="40">
      <c r="A19" s="60" t="inlineStr">
        <is>
          <t>US-15</t>
        </is>
      </c>
      <c r="B19" s="60" t="inlineStr">
        <is>
          <t>D. Sugerencias</t>
        </is>
      </c>
      <c r="C19" s="61" t="inlineStr">
        <is>
          <t>Redactar sugerencia con Gemini</t>
        </is>
      </c>
      <c r="D19" s="62" t="n">
        <v>100</v>
      </c>
      <c r="E19" s="63" t="n">
        <v>2</v>
      </c>
      <c r="F19" s="64" t="n">
        <v>0.8</v>
      </c>
      <c r="G19" s="63" t="n">
        <v>1</v>
      </c>
      <c r="H19" s="65">
        <f>IF(G19&gt;0,D19*E19*F19/G19,0)</f>
        <v/>
      </c>
      <c r="I19" s="60">
        <f>RANK(H19,$H$5:$H$40,0)</f>
        <v/>
      </c>
      <c r="J19" s="62" t="inlineStr">
        <is>
          <t>R1</t>
        </is>
      </c>
      <c r="K19" s="62" t="n">
        <v>4</v>
      </c>
      <c r="L19" s="61" t="n"/>
    </row>
    <row r="20" ht="15" customHeight="1" s="40">
      <c r="A20" s="60" t="inlineStr">
        <is>
          <t>US-20</t>
        </is>
      </c>
      <c r="B20" s="60" t="inlineStr">
        <is>
          <t>E. Revisión</t>
        </is>
      </c>
      <c r="C20" s="61" t="inlineStr">
        <is>
          <t>Ver sugerencias con evidencia</t>
        </is>
      </c>
      <c r="D20" s="62" t="n">
        <v>100</v>
      </c>
      <c r="E20" s="63" t="n">
        <v>2</v>
      </c>
      <c r="F20" s="64" t="n">
        <v>0.8</v>
      </c>
      <c r="G20" s="63" t="n">
        <v>1</v>
      </c>
      <c r="H20" s="65">
        <f>IF(G20&gt;0,D20*E20*F20/G20,0)</f>
        <v/>
      </c>
      <c r="I20" s="60">
        <f>RANK(H20,$H$5:$H$40,0)</f>
        <v/>
      </c>
      <c r="J20" s="62" t="inlineStr">
        <is>
          <t>R1</t>
        </is>
      </c>
      <c r="K20" s="62" t="n">
        <v>4</v>
      </c>
      <c r="L20" s="61" t="n"/>
    </row>
    <row r="21" ht="15" customHeight="1" s="40">
      <c r="A21" s="60" t="inlineStr">
        <is>
          <t>US-21</t>
        </is>
      </c>
      <c r="B21" s="60" t="inlineStr">
        <is>
          <t>E. Revisión</t>
        </is>
      </c>
      <c r="C21" s="61" t="inlineStr">
        <is>
          <t>Aceptar / rechazar / editar sugerencia</t>
        </is>
      </c>
      <c r="D21" s="62" t="n">
        <v>100</v>
      </c>
      <c r="E21" s="63" t="n">
        <v>3</v>
      </c>
      <c r="F21" s="64" t="n">
        <v>0.8</v>
      </c>
      <c r="G21" s="63" t="n">
        <v>1.5</v>
      </c>
      <c r="H21" s="65">
        <f>IF(G21&gt;0,D21*E21*F21/G21,0)</f>
        <v/>
      </c>
      <c r="I21" s="60">
        <f>RANK(H21,$H$5:$H$40,0)</f>
        <v/>
      </c>
      <c r="J21" s="62" t="inlineStr">
        <is>
          <t>R1</t>
        </is>
      </c>
      <c r="K21" s="62" t="n">
        <v>5</v>
      </c>
      <c r="L21" s="61" t="inlineStr">
        <is>
          <t>Garantiza la revisión humana (RNF-01).</t>
        </is>
      </c>
    </row>
    <row r="22" ht="15" customHeight="1" s="40">
      <c r="A22" s="60" t="inlineStr">
        <is>
          <t>US-24</t>
        </is>
      </c>
      <c r="B22" s="60" t="inlineStr">
        <is>
          <t>F. Publicación</t>
        </is>
      </c>
      <c r="C22" s="61" t="inlineStr">
        <is>
          <t>Publicar comentario en discusión OJS</t>
        </is>
      </c>
      <c r="D22" s="62" t="n">
        <v>100</v>
      </c>
      <c r="E22" s="63" t="n">
        <v>3</v>
      </c>
      <c r="F22" s="64" t="n">
        <v>0.8</v>
      </c>
      <c r="G22" s="63" t="n">
        <v>1.5</v>
      </c>
      <c r="H22" s="65">
        <f>IF(G22&gt;0,D22*E22*F22/G22,0)</f>
        <v/>
      </c>
      <c r="I22" s="60">
        <f>RANK(H22,$H$5:$H$40,0)</f>
        <v/>
      </c>
      <c r="J22" s="62" t="inlineStr">
        <is>
          <t>R1</t>
        </is>
      </c>
      <c r="K22" s="62" t="n">
        <v>5</v>
      </c>
      <c r="L22" s="61" t="inlineStr">
        <is>
          <t>Cierra el ciclo con el autor.</t>
        </is>
      </c>
    </row>
    <row r="23" ht="15" customHeight="1" s="40">
      <c r="A23" s="60" t="inlineStr">
        <is>
          <t>US-11</t>
        </is>
      </c>
      <c r="B23" s="60" t="inlineStr">
        <is>
          <t>C. Validación</t>
        </is>
      </c>
      <c r="C23" s="61" t="inlineStr">
        <is>
          <t>Validar figuras: pie, numeración, orden (RE-23..25)</t>
        </is>
      </c>
      <c r="D23" s="62" t="n">
        <v>70</v>
      </c>
      <c r="E23" s="63" t="n">
        <v>2</v>
      </c>
      <c r="F23" s="64" t="n">
        <v>0.8</v>
      </c>
      <c r="G23" s="63" t="n">
        <v>1</v>
      </c>
      <c r="H23" s="65">
        <f>IF(G23&gt;0,D23*E23*F23/G23,0)</f>
        <v/>
      </c>
      <c r="I23" s="60">
        <f>RANK(H23,$H$5:$H$40,0)</f>
        <v/>
      </c>
      <c r="J23" s="62" t="inlineStr">
        <is>
          <t>R1</t>
        </is>
      </c>
      <c r="K23" s="62" t="n">
        <v>3</v>
      </c>
      <c r="L23" s="61" t="inlineStr">
        <is>
          <t>Alcance MVP: RE-23 y RE-24; RE-25 (mención en el texto) en R2. (Replan 29-sep)</t>
        </is>
      </c>
    </row>
    <row r="24" ht="15" customHeight="1" s="40">
      <c r="A24" s="60" t="inlineStr">
        <is>
          <t>US-05</t>
        </is>
      </c>
      <c r="B24" s="60" t="inlineStr">
        <is>
          <t>B. Extracción</t>
        </is>
      </c>
      <c r="C24" s="61" t="inlineStr">
        <is>
          <t>Detectar secciones IMRyD</t>
        </is>
      </c>
      <c r="D24" s="62" t="n">
        <v>100</v>
      </c>
      <c r="E24" s="63" t="n">
        <v>2</v>
      </c>
      <c r="F24" s="64" t="n">
        <v>0.5</v>
      </c>
      <c r="G24" s="63" t="n">
        <v>1</v>
      </c>
      <c r="H24" s="65">
        <f>IF(G24&gt;0,D24*E24*F24/G24,0)</f>
        <v/>
      </c>
      <c r="I24" s="60">
        <f>RANK(H24,$H$5:$H$40,0)</f>
        <v/>
      </c>
      <c r="J24" s="62" t="inlineStr">
        <is>
          <t>R1</t>
        </is>
      </c>
      <c r="K24" s="62" t="n">
        <v>3</v>
      </c>
      <c r="L24" s="61" t="inlineStr">
        <is>
          <t>Heurística sensible a PDFs mal estructurados. Alcance MVP: solo Resumen, Palabras clave y Referencias; diccionario completo de variantes en R2. (Replan 29-sep)</t>
        </is>
      </c>
    </row>
    <row r="25" ht="15" customHeight="1" s="40">
      <c r="A25" s="60" t="inlineStr">
        <is>
          <t>US-18</t>
        </is>
      </c>
      <c r="B25" s="60" t="inlineStr">
        <is>
          <t>D. Sugerencias</t>
        </is>
      </c>
      <c r="C25" s="61" t="inlineStr">
        <is>
          <t>Reintentos, límite de tokens y fallback</t>
        </is>
      </c>
      <c r="D25" s="62" t="n">
        <v>30</v>
      </c>
      <c r="E25" s="63" t="n">
        <v>2</v>
      </c>
      <c r="F25" s="64" t="n">
        <v>0.8</v>
      </c>
      <c r="G25" s="63" t="n">
        <v>0.5</v>
      </c>
      <c r="H25" s="65">
        <f>IF(G25&gt;0,D25*E25*F25/G25,0)</f>
        <v/>
      </c>
      <c r="I25" s="60">
        <f>RANK(H25,$H$5:$H$40,0)</f>
        <v/>
      </c>
      <c r="J25" s="62" t="inlineStr">
        <is>
          <t>R1</t>
        </is>
      </c>
      <c r="K25" s="62" t="n">
        <v>4</v>
      </c>
      <c r="L25" s="61" t="inlineStr">
        <is>
          <t>Alcance MVP: reintentos con backoff y fallback; presupuesto de tokens en R2. (Replan 29-sep)</t>
        </is>
      </c>
    </row>
    <row r="26" ht="15" customHeight="1" s="40">
      <c r="A26" s="60" t="inlineStr">
        <is>
          <t>US-13</t>
        </is>
      </c>
      <c r="B26" s="60" t="inlineStr">
        <is>
          <t>C. Validación</t>
        </is>
      </c>
      <c r="C26" s="61" t="inlineStr">
        <is>
          <t>Validar referencias IEEE (RE-44..49)</t>
        </is>
      </c>
      <c r="D26" s="62" t="n">
        <v>80</v>
      </c>
      <c r="E26" s="63" t="n">
        <v>3</v>
      </c>
      <c r="F26" s="64" t="n">
        <v>0.5</v>
      </c>
      <c r="G26" s="63" t="n">
        <v>1.5</v>
      </c>
      <c r="H26" s="65">
        <f>IF(G26&gt;0,D26*E26*F26/G26,0)</f>
        <v/>
      </c>
      <c r="I26" s="60">
        <f>RANK(H26,$H$5:$H$40,0)</f>
        <v/>
      </c>
      <c r="J26" s="62" t="inlineStr">
        <is>
          <t>R1</t>
        </is>
      </c>
      <c r="K26" s="62" t="n">
        <v>3</v>
      </c>
      <c r="L26" s="61" t="inlineStr">
        <is>
          <t>Alto valor pero parser IEEE complejo. Alcance MVP: RE-44, RE-46, RE-47 y RE-49; patrón IEEE por tipo (RE-45) y RE-48 en R2. (Replan 29-sep)</t>
        </is>
      </c>
    </row>
    <row r="27" ht="15" customHeight="1" s="40">
      <c r="A27" s="60" t="inlineStr">
        <is>
          <t>US-27</t>
        </is>
      </c>
      <c r="B27" s="60" t="inlineStr">
        <is>
          <t>F. Publicación</t>
        </is>
      </c>
      <c r="C27" s="61" t="inlineStr">
        <is>
          <t>Notificar al editor por correo OJS</t>
        </is>
      </c>
      <c r="D27" s="62" t="n">
        <v>100</v>
      </c>
      <c r="E27" s="63" t="n">
        <v>0.5</v>
      </c>
      <c r="F27" s="64" t="n">
        <v>0.8</v>
      </c>
      <c r="G27" s="63" t="n">
        <v>0.5</v>
      </c>
      <c r="H27" s="65">
        <f>IF(G27&gt;0,D27*E27*F27/G27,0)</f>
        <v/>
      </c>
      <c r="I27" s="60">
        <f>RANK(H27,$H$5:$H$40,0)</f>
        <v/>
      </c>
      <c r="J27" s="62" t="inlineStr">
        <is>
          <t>R2</t>
        </is>
      </c>
      <c r="K27" s="62" t="inlineStr">
        <is>
          <t>—</t>
        </is>
      </c>
      <c r="L27" s="61" t="inlineStr">
        <is>
          <t>Sacada del plan el 29-sep (antes Sprint 6); queda en backlog R2.</t>
        </is>
      </c>
    </row>
    <row r="28" ht="23.25" customHeight="1" s="40">
      <c r="A28" s="60" t="inlineStr">
        <is>
          <t>US-02</t>
        </is>
      </c>
      <c r="B28" s="60" t="inlineStr">
        <is>
          <t>A. Recepción</t>
        </is>
      </c>
      <c r="C28" s="61" t="inlineStr">
        <is>
          <t>Plugin OJS: hook al completar un envío</t>
        </is>
      </c>
      <c r="D28" s="62" t="n">
        <v>100</v>
      </c>
      <c r="E28" s="63" t="n">
        <v>3</v>
      </c>
      <c r="F28" s="64" t="n">
        <v>0.5</v>
      </c>
      <c r="G28" s="63" t="n">
        <v>2</v>
      </c>
      <c r="H28" s="65">
        <f>IF(G28&gt;0,D28*E28*F28/G28,0)</f>
        <v/>
      </c>
      <c r="I28" s="60">
        <f>RANK(H28,$H$5:$H$40,0)</f>
        <v/>
      </c>
      <c r="J28" s="62" t="inlineStr">
        <is>
          <t>R1</t>
        </is>
      </c>
      <c r="K28" s="62" t="n">
        <v>5</v>
      </c>
      <c r="L28" s="61" t="inlineStr">
        <is>
          <t>Alto esfuerzo e incertidumbre en OJS 3.1.2.1; imprescindible para el flujo real.</t>
        </is>
      </c>
    </row>
    <row r="29" ht="15" customHeight="1" s="40">
      <c r="A29" s="60" t="inlineStr">
        <is>
          <t>US-22</t>
        </is>
      </c>
      <c r="B29" s="60" t="inlineStr">
        <is>
          <t>E. Revisión</t>
        </is>
      </c>
      <c r="C29" s="61" t="inlineStr">
        <is>
          <t>Agregar sugerencia manual</t>
        </is>
      </c>
      <c r="D29" s="62" t="n">
        <v>40</v>
      </c>
      <c r="E29" s="63" t="n">
        <v>1</v>
      </c>
      <c r="F29" s="64" t="n">
        <v>0.8</v>
      </c>
      <c r="G29" s="63" t="n">
        <v>0.5</v>
      </c>
      <c r="H29" s="65">
        <f>IF(G29&gt;0,D29*E29*F29/G29,0)</f>
        <v/>
      </c>
      <c r="I29" s="60">
        <f>RANK(H29,$H$5:$H$40,0)</f>
        <v/>
      </c>
      <c r="J29" s="62" t="inlineStr">
        <is>
          <t>R2</t>
        </is>
      </c>
      <c r="K29" s="62" t="inlineStr">
        <is>
          <t>—</t>
        </is>
      </c>
      <c r="L29" s="61" t="inlineStr">
        <is>
          <t>Sacada del plan el 29-sep (antes Sprint 6); queda en backlog R2.</t>
        </is>
      </c>
    </row>
    <row r="30" ht="15" customHeight="1" s="40">
      <c r="A30" s="60" t="inlineStr">
        <is>
          <t>US-26</t>
        </is>
      </c>
      <c r="B30" s="60" t="inlineStr">
        <is>
          <t>F. Publicación</t>
        </is>
      </c>
      <c r="C30" s="61" t="inlineStr">
        <is>
          <t>Vincular comentario a versión del manuscrito</t>
        </is>
      </c>
      <c r="D30" s="62" t="n">
        <v>50</v>
      </c>
      <c r="E30" s="63" t="n">
        <v>1</v>
      </c>
      <c r="F30" s="64" t="n">
        <v>0.5</v>
      </c>
      <c r="G30" s="63" t="n">
        <v>0.5</v>
      </c>
      <c r="H30" s="65">
        <f>IF(G30&gt;0,D30*E30*F30/G30,0)</f>
        <v/>
      </c>
      <c r="I30" s="60">
        <f>RANK(H30,$H$5:$H$40,0)</f>
        <v/>
      </c>
      <c r="J30" s="62" t="inlineStr">
        <is>
          <t>R2</t>
        </is>
      </c>
      <c r="K30" s="62" t="inlineStr">
        <is>
          <t>—</t>
        </is>
      </c>
      <c r="L30" s="61" t="n"/>
    </row>
    <row r="31" ht="15" customHeight="1" s="40">
      <c r="A31" s="60" t="inlineStr">
        <is>
          <t>US-33</t>
        </is>
      </c>
      <c r="B31" s="60" t="inlineStr">
        <is>
          <t>G. Administración</t>
        </is>
      </c>
      <c r="C31" s="61" t="inlineStr">
        <is>
          <t>Auditoría de decisiones editoriales</t>
        </is>
      </c>
      <c r="D31" s="62" t="n">
        <v>100</v>
      </c>
      <c r="E31" s="63" t="n">
        <v>0.25</v>
      </c>
      <c r="F31" s="64" t="n">
        <v>1</v>
      </c>
      <c r="G31" s="63" t="n">
        <v>0.5</v>
      </c>
      <c r="H31" s="65">
        <f>IF(G31&gt;0,D31*E31*F31/G31,0)</f>
        <v/>
      </c>
      <c r="I31" s="60">
        <f>RANK(H31,$H$5:$H$40,0)</f>
        <v/>
      </c>
      <c r="J31" s="62" t="inlineStr">
        <is>
          <t>R3</t>
        </is>
      </c>
      <c r="K31" s="62" t="inlineStr">
        <is>
          <t>—</t>
        </is>
      </c>
      <c r="L31" s="61" t="n"/>
    </row>
    <row r="32" ht="15" customHeight="1" s="40">
      <c r="A32" s="60" t="inlineStr">
        <is>
          <t>US-23</t>
        </is>
      </c>
      <c r="B32" s="60" t="inlineStr">
        <is>
          <t>E. Revisión</t>
        </is>
      </c>
      <c r="C32" s="61" t="inlineStr">
        <is>
          <t>Marcar manuscrito como "sin observaciones"</t>
        </is>
      </c>
      <c r="D32" s="62" t="n">
        <v>10</v>
      </c>
      <c r="E32" s="63" t="n">
        <v>1</v>
      </c>
      <c r="F32" s="64" t="n">
        <v>1</v>
      </c>
      <c r="G32" s="63" t="n">
        <v>0.25</v>
      </c>
      <c r="H32" s="65">
        <f>IF(G32&gt;0,D32*E32*F32/G32,0)</f>
        <v/>
      </c>
      <c r="I32" s="60">
        <f>RANK(H32,$H$5:$H$40,0)</f>
        <v/>
      </c>
      <c r="J32" s="62" t="inlineStr">
        <is>
          <t>R2</t>
        </is>
      </c>
      <c r="K32" s="62" t="inlineStr">
        <is>
          <t>—</t>
        </is>
      </c>
      <c r="L32" s="61" t="inlineStr">
        <is>
          <t>Sacada del plan el 29-sep (antes Sprint 6); queda en backlog R2.</t>
        </is>
      </c>
    </row>
    <row r="33" ht="15" customHeight="1" s="40">
      <c r="A33" s="60" t="inlineStr">
        <is>
          <t>US-30</t>
        </is>
      </c>
      <c r="B33" s="60" t="inlineStr">
        <is>
          <t>G. Administración</t>
        </is>
      </c>
      <c r="C33" s="61" t="inlineStr">
        <is>
          <t>Editar reglas sin redespliegue</t>
        </is>
      </c>
      <c r="D33" s="62" t="n">
        <v>100</v>
      </c>
      <c r="E33" s="63" t="n">
        <v>0.5</v>
      </c>
      <c r="F33" s="64" t="n">
        <v>0.8</v>
      </c>
      <c r="G33" s="63" t="n">
        <v>1</v>
      </c>
      <c r="H33" s="65">
        <f>IF(G33&gt;0,D33*E33*F33/G33,0)</f>
        <v/>
      </c>
      <c r="I33" s="60">
        <f>RANK(H33,$H$5:$H$40,0)</f>
        <v/>
      </c>
      <c r="J33" s="62" t="inlineStr">
        <is>
          <t>R2</t>
        </is>
      </c>
      <c r="K33" s="62" t="inlineStr">
        <is>
          <t>—</t>
        </is>
      </c>
      <c r="L33" s="61" t="n"/>
    </row>
    <row r="34" ht="15" customHeight="1" s="40">
      <c r="A34" s="60" t="inlineStr">
        <is>
          <t>US-14</t>
        </is>
      </c>
      <c r="B34" s="60" t="inlineStr">
        <is>
          <t>C. Validación</t>
        </is>
      </c>
      <c r="C34" s="61" t="inlineStr">
        <is>
          <t>Validar estructura, resumen y palabras clave (RE-01..15)</t>
        </is>
      </c>
      <c r="D34" s="62" t="n">
        <v>60</v>
      </c>
      <c r="E34" s="63" t="n">
        <v>1</v>
      </c>
      <c r="F34" s="64" t="n">
        <v>0.5</v>
      </c>
      <c r="G34" s="63" t="n">
        <v>1</v>
      </c>
      <c r="H34" s="65">
        <f>IF(G34&gt;0,D34*E34*F34/G34,0)</f>
        <v/>
      </c>
      <c r="I34" s="60">
        <f>RANK(H34,$H$5:$H$40,0)</f>
        <v/>
      </c>
      <c r="J34" s="62" t="inlineStr">
        <is>
          <t>R2</t>
        </is>
      </c>
      <c r="K34" s="62" t="inlineStr">
        <is>
          <t>—</t>
        </is>
      </c>
      <c r="L34" s="61" t="inlineStr">
        <is>
          <t>Sacada del plan el 29-sep (antes Sprint 3); queda en backlog R2.</t>
        </is>
      </c>
    </row>
    <row r="35" ht="15" customHeight="1" s="40">
      <c r="A35" s="60" t="inlineStr">
        <is>
          <t>US-32</t>
        </is>
      </c>
      <c r="B35" s="60" t="inlineStr">
        <is>
          <t>G. Administración</t>
        </is>
      </c>
      <c r="C35" s="61" t="inlineStr">
        <is>
          <t>Panel de métricas</t>
        </is>
      </c>
      <c r="D35" s="62" t="n">
        <v>100</v>
      </c>
      <c r="E35" s="63" t="n">
        <v>0.5</v>
      </c>
      <c r="F35" s="64" t="n">
        <v>0.8</v>
      </c>
      <c r="G35" s="63" t="n">
        <v>1.5</v>
      </c>
      <c r="H35" s="65">
        <f>IF(G35&gt;0,D35*E35*F35/G35,0)</f>
        <v/>
      </c>
      <c r="I35" s="60">
        <f>RANK(H35,$H$5:$H$40,0)</f>
        <v/>
      </c>
      <c r="J35" s="62" t="inlineStr">
        <is>
          <t>R3</t>
        </is>
      </c>
      <c r="K35" s="62" t="inlineStr">
        <is>
          <t>—</t>
        </is>
      </c>
      <c r="L35" s="61" t="n"/>
    </row>
    <row r="36" ht="15" customHeight="1" s="40">
      <c r="A36" s="60" t="inlineStr">
        <is>
          <t>US-31</t>
        </is>
      </c>
      <c r="B36" s="60" t="inlineStr">
        <is>
          <t>A. Recepción</t>
        </is>
      </c>
      <c r="C36" s="61" t="inlineStr">
        <is>
          <t>Detectar reenvío (versión 2)</t>
        </is>
      </c>
      <c r="D36" s="62" t="n">
        <v>50</v>
      </c>
      <c r="E36" s="63" t="n">
        <v>1</v>
      </c>
      <c r="F36" s="64" t="n">
        <v>0.5</v>
      </c>
      <c r="G36" s="63" t="n">
        <v>1</v>
      </c>
      <c r="H36" s="65">
        <f>IF(G36&gt;0,D36*E36*F36/G36,0)</f>
        <v/>
      </c>
      <c r="I36" s="60">
        <f>RANK(H36,$H$5:$H$40,0)</f>
        <v/>
      </c>
      <c r="J36" s="62" t="inlineStr">
        <is>
          <t>R2</t>
        </is>
      </c>
      <c r="K36" s="62" t="inlineStr">
        <is>
          <t>—</t>
        </is>
      </c>
      <c r="L36" s="61" t="n"/>
    </row>
    <row r="37" ht="15" customHeight="1" s="40">
      <c r="A37" s="60" t="inlineStr">
        <is>
          <t>US-35</t>
        </is>
      </c>
      <c r="B37" s="60" t="inlineStr">
        <is>
          <t>B. Extracción</t>
        </is>
      </c>
      <c r="C37" s="61" t="inlineStr">
        <is>
          <t>Detectar figuras recortadas / fuera de margen</t>
        </is>
      </c>
      <c r="D37" s="62" t="n">
        <v>30</v>
      </c>
      <c r="E37" s="63" t="n">
        <v>2</v>
      </c>
      <c r="F37" s="64" t="n">
        <v>0.5</v>
      </c>
      <c r="G37" s="63" t="n">
        <v>1.5</v>
      </c>
      <c r="H37" s="65">
        <f>IF(G37&gt;0,D37*E37*F37/G37,0)</f>
        <v/>
      </c>
      <c r="I37" s="60">
        <f>RANK(H37,$H$5:$H$40,0)</f>
        <v/>
      </c>
      <c r="J37" s="62" t="inlineStr">
        <is>
          <t>R3</t>
        </is>
      </c>
      <c r="K37" s="62" t="inlineStr">
        <is>
          <t>—</t>
        </is>
      </c>
      <c r="L37" s="61" t="n"/>
    </row>
    <row r="38" ht="15" customHeight="1" s="40">
      <c r="A38" s="60" t="inlineStr">
        <is>
          <t>US-25</t>
        </is>
      </c>
      <c r="B38" s="60" t="inlineStr">
        <is>
          <t>F. Publicación</t>
        </is>
      </c>
      <c r="C38" s="61" t="inlineStr">
        <is>
          <t>Reintento y cola si OJS no responde</t>
        </is>
      </c>
      <c r="D38" s="62" t="n">
        <v>5</v>
      </c>
      <c r="E38" s="63" t="n">
        <v>2</v>
      </c>
      <c r="F38" s="64" t="n">
        <v>0.8</v>
      </c>
      <c r="G38" s="63" t="n">
        <v>0.5</v>
      </c>
      <c r="H38" s="65">
        <f>IF(G38&gt;0,D38*E38*F38/G38,0)</f>
        <v/>
      </c>
      <c r="I38" s="60">
        <f>RANK(H38,$H$5:$H$40,0)</f>
        <v/>
      </c>
      <c r="J38" s="62" t="inlineStr">
        <is>
          <t>R2</t>
        </is>
      </c>
      <c r="K38" s="62" t="inlineStr">
        <is>
          <t>—</t>
        </is>
      </c>
      <c r="L38" s="61" t="inlineStr">
        <is>
          <t>Sacada del plan el 29-sep (antes Sprint 6); queda en backlog R2.</t>
        </is>
      </c>
    </row>
    <row r="39" ht="15" customHeight="1" s="40">
      <c r="A39" s="60" t="inlineStr">
        <is>
          <t>US-34</t>
        </is>
      </c>
      <c r="B39" s="60" t="inlineStr">
        <is>
          <t>B. Extracción</t>
        </is>
      </c>
      <c r="C39" s="61" t="inlineStr">
        <is>
          <t>Detectar tablas y sus títulos</t>
        </is>
      </c>
      <c r="D39" s="62" t="n">
        <v>60</v>
      </c>
      <c r="E39" s="63" t="n">
        <v>0.5</v>
      </c>
      <c r="F39" s="64" t="n">
        <v>0.5</v>
      </c>
      <c r="G39" s="63" t="n">
        <v>1</v>
      </c>
      <c r="H39" s="65">
        <f>IF(G39&gt;0,D39*E39*F39/G39,0)</f>
        <v/>
      </c>
      <c r="I39" s="60">
        <f>RANK(H39,$H$5:$H$40,0)</f>
        <v/>
      </c>
      <c r="J39" s="62" t="inlineStr">
        <is>
          <t>R3</t>
        </is>
      </c>
      <c r="K39" s="62" t="inlineStr">
        <is>
          <t>—</t>
        </is>
      </c>
      <c r="L39" s="61" t="n"/>
    </row>
    <row r="40" ht="15" customHeight="1" s="40">
      <c r="A40" s="60" t="inlineStr">
        <is>
          <t>US-36</t>
        </is>
      </c>
      <c r="B40" s="60" t="inlineStr">
        <is>
          <t>C. Validación</t>
        </is>
      </c>
      <c r="C40" s="61" t="inlineStr">
        <is>
          <t>Validar formato de página (RE-60..65)</t>
        </is>
      </c>
      <c r="D40" s="62" t="n">
        <v>40</v>
      </c>
      <c r="E40" s="63" t="n">
        <v>0.5</v>
      </c>
      <c r="F40" s="64" t="n">
        <v>0.5</v>
      </c>
      <c r="G40" s="63" t="n">
        <v>1.5</v>
      </c>
      <c r="H40" s="65">
        <f>IF(G40&gt;0,D40*E40*F40/G40,0)</f>
        <v/>
      </c>
      <c r="I40" s="60">
        <f>RANK(H40,$H$5:$H$40,0)</f>
        <v/>
      </c>
      <c r="J40" s="62" t="inlineStr">
        <is>
          <t>R3</t>
        </is>
      </c>
      <c r="K40" s="62" t="inlineStr">
        <is>
          <t>—</t>
        </is>
      </c>
      <c r="L40" s="61" t="n"/>
    </row>
    <row r="42" ht="15" customHeight="1" s="40">
      <c r="B42" s="66" t="inlineStr">
        <is>
          <t>Resumen</t>
        </is>
      </c>
    </row>
    <row r="43" ht="15" customHeight="1" s="40">
      <c r="B43" s="52" t="inlineStr">
        <is>
          <t>Historias totales</t>
        </is>
      </c>
      <c r="C43" s="52">
        <f>COUNTA(A5:A40)</f>
        <v/>
      </c>
    </row>
    <row r="44" ht="15" customHeight="1" s="40">
      <c r="B44" s="52" t="inlineStr">
        <is>
          <t>Historias R1 (MVP)</t>
        </is>
      </c>
      <c r="C44" s="52">
        <f>COUNTIF(J5:J40,"R1")</f>
        <v/>
      </c>
    </row>
    <row r="45" ht="15" customHeight="1" s="40">
      <c r="B45" s="52" t="inlineStr">
        <is>
          <t>Effort total R1</t>
        </is>
      </c>
      <c r="C45" s="52">
        <f>SUMIF(J5:J40,"R1",G5:G40)</f>
        <v/>
      </c>
    </row>
    <row r="46" ht="15" customHeight="1" s="40">
      <c r="B46" s="52" t="inlineStr">
        <is>
          <t>Score promedio R1</t>
        </is>
      </c>
      <c r="C46" s="67">
        <f>AVERAGEIF(J5:J40,"R1",H5:H40)</f>
        <v/>
      </c>
    </row>
  </sheetData>
  <autoFilter ref="A4:L40"/>
  <conditionalFormatting sqref="H5:H40">
    <cfRule type="colorScale" priority="2">
      <colorScale>
        <cfvo type="min" val="0"/>
        <cfvo type="percentile" val="50"/>
        <cfvo type="max" val="0"/>
        <color rgb="FFF8CBAD"/>
        <color rgb="FFFFE699"/>
        <color rgb="FFA9D08E"/>
      </colorScale>
    </cfRule>
  </conditionalFormatting>
  <dataValidations count="1">
    <dataValidation sqref="J5:J40" showDropDown="0" showInputMessage="0" showErrorMessage="0" allowBlank="1" type="list" errorStyle="stop" operator="between">
      <formula1>"R1,R2,R3"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39" min="1" max="1"/>
    <col width="8" customWidth="1" style="39" min="2" max="2"/>
    <col width="42" customWidth="1" style="39" min="3" max="3"/>
    <col width="18" customWidth="1" style="39" min="4" max="4"/>
    <col width="8" customWidth="1" style="39" min="5" max="5"/>
    <col width="12" customWidth="1" style="39" min="6" max="6"/>
    <col width="80" customWidth="1" style="39" min="7" max="7"/>
    <col width="14" customWidth="1" style="39" min="8" max="8"/>
  </cols>
  <sheetData>
    <row r="1" ht="15.75" customHeight="1" s="40">
      <c r="A1" s="41" t="inlineStr">
        <is>
          <t>Sprint 1 — 14 al 25 de septiembre de 2026 (10 días hábiles)</t>
        </is>
      </c>
    </row>
    <row r="2" ht="48" customHeight="1" s="40">
      <c r="A2" s="45" t="inlineStr">
        <is>
          <t>Sprint Goal: Contar con un walking skeleton local que reciba un PDF de Innosoft, extraiga texto y figuras, aplique las primeras reglas de figuras desde un archivo de reglas versionado y devuelva un JSON de incumplimientos con ubicación, con la especificación general del producto aprobada.</t>
        </is>
      </c>
    </row>
    <row r="4" ht="15" customHeight="1" s="40">
      <c r="A4" s="43" t="inlineStr">
        <is>
          <t>Orden</t>
        </is>
      </c>
      <c r="B4" s="43" t="inlineStr">
        <is>
          <t>ID</t>
        </is>
      </c>
      <c r="C4" s="43" t="inlineStr">
        <is>
          <t>Historia</t>
        </is>
      </c>
      <c r="D4" s="43" t="inlineStr">
        <is>
          <t>Reglas</t>
        </is>
      </c>
      <c r="E4" s="43" t="inlineStr">
        <is>
          <t>Effort</t>
        </is>
      </c>
      <c r="F4" s="43" t="inlineStr">
        <is>
          <t>Responsable</t>
        </is>
      </c>
      <c r="G4" s="43" t="inlineStr">
        <is>
          <t>Criterios de aceptación</t>
        </is>
      </c>
      <c r="H4" s="43" t="inlineStr">
        <is>
          <t>Estado</t>
        </is>
      </c>
    </row>
    <row r="5" ht="34.5" customHeight="1" s="40">
      <c r="A5" s="61" t="n">
        <v>1</v>
      </c>
      <c r="B5" s="61" t="inlineStr">
        <is>
          <t>US-00</t>
        </is>
      </c>
      <c r="C5" s="61" t="inlineStr">
        <is>
          <t>Especificación general del producto y configuración del entorno (historia técnica)</t>
        </is>
      </c>
      <c r="D5" s="61" t="inlineStr">
        <is>
          <t>—</t>
        </is>
      </c>
      <c r="E5" s="68" t="n">
        <v>0.5</v>
      </c>
      <c r="F5" s="61" t="inlineStr">
        <is>
          <t>Ambos</t>
        </is>
      </c>
      <c r="G5" s="61" t="inlineStr">
        <is>
          <t>specs/00-producto.md aprobada por ambos; plantilla de spec; repositorio con CI; Docker Compose (FastAPI + PostgreSQL) arranca con un comando; 5 PDFs de prueba anonimizados; plantillas oficiales e innosoft.cls en docs/.</t>
        </is>
      </c>
      <c r="H5" s="68" t="inlineStr">
        <is>
          <t>Parcial</t>
        </is>
      </c>
    </row>
    <row r="6" ht="23.25" customHeight="1" s="40">
      <c r="A6" s="61" t="n">
        <v>2</v>
      </c>
      <c r="B6" s="61" t="inlineStr">
        <is>
          <t>US-01</t>
        </is>
      </c>
      <c r="C6" s="61" t="inlineStr">
        <is>
          <t>Recibir PDF por API</t>
        </is>
      </c>
      <c r="D6" s="61" t="inlineStr">
        <is>
          <t>—</t>
        </is>
      </c>
      <c r="E6" s="68" t="n">
        <v>0.25</v>
      </c>
      <c r="F6" s="61" t="inlineStr">
        <is>
          <t>Dev A</t>
        </is>
      </c>
      <c r="G6" s="61" t="inlineStr">
        <is>
          <t>POST /manuscripts acepta PDF ≤ 25 MB + metadatos y responde 202 con manuscript_id; 400 si no es PDF; 413 si excede tamaño; el archivo y el estado "received" quedan persistidos.</t>
        </is>
      </c>
      <c r="H6" s="68" t="inlineStr">
        <is>
          <t>Arrastrada</t>
        </is>
      </c>
    </row>
    <row r="7" ht="23.25" customHeight="1" s="40">
      <c r="A7" s="61" t="n">
        <v>3</v>
      </c>
      <c r="B7" s="61" t="inlineStr">
        <is>
          <t>US-04</t>
        </is>
      </c>
      <c r="C7" s="61" t="inlineStr">
        <is>
          <t>Extraer texto y páginas</t>
        </is>
      </c>
      <c r="D7" s="61" t="inlineStr">
        <is>
          <t>—</t>
        </is>
      </c>
      <c r="E7" s="68" t="n">
        <v>0.5</v>
      </c>
      <c r="F7" s="61" t="inlineStr">
        <is>
          <t>Dev A</t>
        </is>
      </c>
      <c r="G7" s="61" t="inlineStr">
        <is>
          <t>Salida JSON por página con bloques, bbox, fuente y tamaño; PDF sin capa de texto → estado "unreadable" y aviso (ALT-01); 30 páginas en menos de 10 s; persistido como JSONB.</t>
        </is>
      </c>
      <c r="H7" s="68" t="inlineStr">
        <is>
          <t>Arrastrada</t>
        </is>
      </c>
    </row>
    <row r="8" ht="34.5" customHeight="1" s="40">
      <c r="A8" s="61" t="n">
        <v>4</v>
      </c>
      <c r="B8" s="61" t="inlineStr">
        <is>
          <t>US-09</t>
        </is>
      </c>
      <c r="C8" s="61" t="inlineStr">
        <is>
          <t>Cargar reglas Innosoft desde YAML</t>
        </is>
      </c>
      <c r="D8" s="61" t="inlineStr">
        <is>
          <t>RE-20..27 definidas</t>
        </is>
      </c>
      <c r="E8" s="68" t="n">
        <v>0.5</v>
      </c>
      <c r="F8" s="61" t="inlineStr">
        <is>
          <t>Dev B</t>
        </is>
      </c>
      <c r="G8" s="61" t="inlineStr">
        <is>
          <t>Cada regla tiene id, categoría, descripción, condición, severidad, mensaje, sección y fuente; se valida contra JSON Schema al arrancar; regla inválida detiene el arranque con mensaje claro; GET /rules disponible.</t>
        </is>
      </c>
      <c r="H8" s="68" t="inlineStr">
        <is>
          <t>Arrastrada</t>
        </is>
      </c>
    </row>
    <row r="9" ht="23.25" customHeight="1" s="40">
      <c r="A9" s="61" t="n">
        <v>5</v>
      </c>
      <c r="B9" s="61" t="inlineStr">
        <is>
          <t>US-06</t>
        </is>
      </c>
      <c r="C9" s="61" t="inlineStr">
        <is>
          <t>Extraer figuras: posición, tamaño, pie</t>
        </is>
      </c>
      <c r="D9" s="61" t="inlineStr">
        <is>
          <t>—</t>
        </is>
      </c>
      <c r="E9" s="68" t="n">
        <v>0.75</v>
      </c>
      <c r="F9" s="61" t="inlineStr">
        <is>
          <t>Dev B</t>
        </is>
      </c>
      <c r="G9" s="61" t="inlineStr">
        <is>
          <t>Por cada imagen: página, bbox, px reales, dpi efectivo y pie asociado ("Figura n."); imágenes vectoriales marcadas como vector; manuscrito sin figuras devuelve lista vacía (ALT-03).</t>
        </is>
      </c>
      <c r="H9" s="68" t="inlineStr">
        <is>
          <t>Arrastrada</t>
        </is>
      </c>
    </row>
    <row r="10" ht="34.5" customHeight="1" s="40">
      <c r="A10" s="61" t="n">
        <v>6</v>
      </c>
      <c r="B10" s="61" t="inlineStr">
        <is>
          <t>US-10</t>
        </is>
      </c>
      <c r="C10" s="61" t="inlineStr">
        <is>
          <t>Validar figuras: tamaño y proporción</t>
        </is>
      </c>
      <c r="D10" s="61" t="inlineStr">
        <is>
          <t>RE-20, RE-21</t>
        </is>
      </c>
      <c r="E10" s="68" t="n">
        <v>0.5</v>
      </c>
      <c r="F10" s="61" t="inlineStr">
        <is>
          <t>Dev B</t>
        </is>
      </c>
      <c r="G10" s="61" t="inlineStr">
        <is>
          <t>Motor run_rules tolerante a fallos por regla; hallazgos con rule_id, severidad, página, figura, encontrado y esperado; GET /manuscripts/{id}/findings; pruebas: figura 300×600 px falla RE-20, figura 800×2000 px a 300 dpi pasa.</t>
        </is>
      </c>
      <c r="H10" s="68" t="inlineStr">
        <is>
          <t>Arrastrada</t>
        </is>
      </c>
    </row>
    <row r="11" ht="23.25" customHeight="1" s="40">
      <c r="A11" s="61" t="n">
        <v>7</v>
      </c>
      <c r="B11" s="61" t="inlineStr">
        <is>
          <t>US-07</t>
        </is>
      </c>
      <c r="C11" s="61" t="inlineStr">
        <is>
          <t>Extraer citas en texto [n] (stretch)</t>
        </is>
      </c>
      <c r="D11" s="61" t="inlineStr">
        <is>
          <t>—</t>
        </is>
      </c>
      <c r="E11" s="68" t="n">
        <v>0.25</v>
      </c>
      <c r="F11" s="61" t="inlineStr">
        <is>
          <t>Dev A</t>
        </is>
      </c>
      <c r="G11" s="61" t="inlineStr">
        <is>
          <t>Se detectan [1], [3, 4], [1]–[5] con posición y puntuación adyacente; citas autor-año marcadas como candidatas.</t>
        </is>
      </c>
      <c r="H11" s="68" t="inlineStr">
        <is>
          <t>Arrastrada</t>
        </is>
      </c>
    </row>
    <row r="13" ht="15" customHeight="1" s="40">
      <c r="C13" s="66" t="inlineStr">
        <is>
          <t>Effort comprometido</t>
        </is>
      </c>
      <c r="E13" s="39">
        <f>SUMIF(H5:H11,"Comprometida",E5:E11)</f>
        <v/>
      </c>
    </row>
    <row r="14" ht="15" customHeight="1" s="40">
      <c r="C14" s="66" t="inlineStr">
        <is>
          <t>Effort stretch</t>
        </is>
      </c>
      <c r="E14" s="39">
        <f>SUMIF(H5:H11,"Stretch",E5:E11)</f>
        <v/>
      </c>
    </row>
    <row r="15" ht="15" customHeight="1" s="40">
      <c r="C15" s="44" t="inlineStr">
        <is>
          <t>Effort arrastrado al Sprint 2</t>
        </is>
      </c>
      <c r="E15" s="52">
        <f>SUMIF(H5:H11,"Arrastrada",E5:E11)</f>
        <v/>
      </c>
    </row>
    <row r="16" ht="31.5" customHeight="1" s="40">
      <c r="C16" s="45" t="inlineStr">
        <is>
          <t>Regla de recorte: si la capacidad real no alcanza, se recorta desde el orden mayor (US-10 primero). El Sprint Goal se cumple con US-00 a US-06 completas y RE-20 evaluándose.</t>
        </is>
      </c>
    </row>
    <row r="18" ht="15" customHeight="1" s="40">
      <c r="C18" s="66" t="inlineStr">
        <is>
          <t>Definition of Done</t>
        </is>
      </c>
    </row>
    <row r="19" ht="15" customHeight="1" s="40">
      <c r="C19" s="52" t="inlineStr">
        <is>
          <t>1. La spec de la historia existe, fue revisada por el otro developer y coincide con lo implementado.</t>
        </is>
      </c>
    </row>
    <row r="20" ht="15" customHeight="1" s="40">
      <c r="C20" s="52" t="inlineStr">
        <is>
          <t>2. Pruebas Pytest en verde en GitHub Actions.</t>
        </is>
      </c>
    </row>
    <row r="21" ht="15" customHeight="1" s="40">
      <c r="C21" s="52" t="inlineStr">
        <is>
          <t>3. Código en main mediante pull request revisado.</t>
        </is>
      </c>
    </row>
    <row r="22" ht="15" customHeight="1" s="40">
      <c r="C22" s="52" t="inlineStr">
        <is>
          <t>4. Cada hallazgo devuelto tiene rule_id trazable a rules/*.yaml.</t>
        </is>
      </c>
    </row>
    <row r="23" ht="15" customHeight="1" s="40">
      <c r="C23" s="52" t="inlineStr">
        <is>
          <t>5. Demo reproducible con docker compose up + curl en la Sprint Review.</t>
        </is>
      </c>
    </row>
    <row r="25" ht="15" customHeight="1" s="40">
      <c r="C25" s="66" t="inlineStr">
        <is>
          <t>Riesgos</t>
        </is>
      </c>
    </row>
    <row r="26" ht="15" customHeight="1" s="40">
      <c r="C26" s="66" t="inlineStr">
        <is>
          <t>Riesgo</t>
        </is>
      </c>
      <c r="G26" s="66" t="inlineStr">
        <is>
          <t>Mitigación</t>
        </is>
      </c>
    </row>
    <row r="27" ht="23.25" customHeight="1" s="40">
      <c r="C27" s="45" t="inlineStr">
        <is>
          <t>Figuras vectoriales en PDFs generados desde LaTeX no aparecen como imágenes</t>
        </is>
      </c>
      <c r="G27" s="45" t="inlineStr">
        <is>
          <t>Detectar también dibujos vectoriales (page.get_drawings) y marcarlos como vector; RE-21 no aplica a vectores</t>
        </is>
      </c>
    </row>
    <row r="28" ht="15" customHeight="1" s="40">
      <c r="C28" s="45" t="inlineStr">
        <is>
          <t>Falta innosoft.cls y estilos internos del .docx</t>
        </is>
      </c>
      <c r="G28" s="45" t="inlineStr">
        <is>
          <t>Solicitarlos al equipo editorial; los valores de RE-20..27 se ajustan en YAML sin tocar código</t>
        </is>
      </c>
    </row>
    <row r="29" ht="15" customHeight="1" s="40">
      <c r="C29" s="45" t="inlineStr">
        <is>
          <t>Capacidad real menor a la planificada</t>
        </is>
      </c>
      <c r="G29" s="45" t="inlineStr">
        <is>
          <t>Orden de prioridad explícito; US-10 primer recorte; US-07 stretch</t>
        </is>
      </c>
    </row>
    <row r="31" ht="23.25" customHeight="1" s="40">
      <c r="C31" s="44" t="inlineStr">
        <is>
          <t>Resultado del Sprint 1 (registrado el 29-sep-2026)</t>
        </is>
      </c>
    </row>
    <row r="32" ht="15" customHeight="1" s="40">
      <c r="C32" s="45" t="inlineStr">
        <is>
          <t>• Sprint Goal no cumplido: no se implementó el walking skeleton (0 de 38 tareas de código).</t>
        </is>
      </c>
    </row>
    <row r="33" ht="15" customHeight="1" s="40">
      <c r="C33" s="45" t="inlineStr">
        <is>
          <t>• Sí se produjo: catálogo de requisitos v1.0, priorización RICE, diagramas de clases y despliegue (18-sep).</t>
        </is>
      </c>
    </row>
    <row r="34" ht="15" customHeight="1" s="40">
      <c r="C34" s="45" t="inlineStr">
        <is>
          <t>• Tras el cierre (29-sep): borradores de 00-producto.md, formato-reglas.md, _template.md y specs US-00..US-36.</t>
        </is>
      </c>
    </row>
    <row r="35" ht="15" customHeight="1" s="40">
      <c r="C35" s="45" t="inlineStr">
        <is>
          <t>• US-00 queda Parcial (specs sin aprobar; sin repositorio, CI, Docker ni corpus). Todo lo demás se arrastra al Sprint 2.</t>
        </is>
      </c>
    </row>
    <row r="36" ht="15" customHeight="1" s="40">
      <c r="C36" s="45" t="inlineStr">
        <is>
          <t>• US-07 (stretch) pasa al Sprint 3.</t>
        </is>
      </c>
    </row>
  </sheetData>
  <mergeCells count="10">
    <mergeCell ref="C35:G35"/>
    <mergeCell ref="C34:G34"/>
    <mergeCell ref="C32:G32"/>
    <mergeCell ref="C16:G16"/>
    <mergeCell ref="A2:H2"/>
    <mergeCell ref="C33:G33"/>
    <mergeCell ref="C29:F29"/>
    <mergeCell ref="C36:G36"/>
    <mergeCell ref="C27:F27"/>
    <mergeCell ref="C28:F28"/>
  </mergeCells>
  <dataValidations count="1">
    <dataValidation sqref="H5:H11" showDropDown="0" showInputMessage="0" showErrorMessage="0" allowBlank="1" type="list" errorStyle="stop" operator="between">
      <formula1>"Comprometida,Stretch,Hecha,Parcial,Arrastrada,Recortada"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9" min="1" max="1"/>
    <col width="10" customWidth="1" style="39" min="2" max="2"/>
    <col width="90" customWidth="1" style="39" min="3" max="3"/>
    <col width="12" customWidth="1" style="39" min="4" max="5"/>
    <col width="30" customWidth="1" style="39" min="6" max="6"/>
  </cols>
  <sheetData>
    <row r="1" ht="15.75" customHeight="1" s="40">
      <c r="A1" s="41" t="inlineStr">
        <is>
          <t>Sprint Backlog — Tareas del Sprint 1</t>
        </is>
      </c>
    </row>
    <row r="2" ht="15" customHeight="1" s="40">
      <c r="A2" s="42" t="inlineStr">
        <is>
          <t>Actualice la columna Estado durante el sprint. El avance se calcula automáticamente.</t>
        </is>
      </c>
    </row>
    <row r="4" ht="23.25" customHeight="1" s="40">
      <c r="A4" s="43" t="inlineStr">
        <is>
          <t>#</t>
        </is>
      </c>
      <c r="B4" s="43" t="inlineStr">
        <is>
          <t>Historia</t>
        </is>
      </c>
      <c r="C4" s="43" t="inlineStr">
        <is>
          <t>Tarea</t>
        </is>
      </c>
      <c r="D4" s="43" t="inlineStr">
        <is>
          <t>Responsable</t>
        </is>
      </c>
      <c r="E4" s="43" t="inlineStr">
        <is>
          <t>Estado</t>
        </is>
      </c>
      <c r="F4" s="43" t="inlineStr">
        <is>
          <t>Notas</t>
        </is>
      </c>
    </row>
    <row r="5" ht="15" customHeight="1" s="40">
      <c r="A5" s="61" t="n">
        <v>1</v>
      </c>
      <c r="B5" s="61" t="inlineStr">
        <is>
          <t>US-00</t>
        </is>
      </c>
      <c r="C5" s="61" t="inlineStr">
        <is>
          <t>Redactar specs/00-producto.md: objetivo, actores, alcance, entradas/salidas, RNF-01..07, ALT-01..12</t>
        </is>
      </c>
      <c r="D5" s="68" t="inlineStr">
        <is>
          <t>Ambos</t>
        </is>
      </c>
      <c r="E5" s="68" t="inlineStr">
        <is>
          <t>Hecho</t>
        </is>
      </c>
      <c r="F5" s="61" t="inlineStr">
        <is>
          <t>Borrador v0.1 del 29-sep; falta aprobación de ambos</t>
        </is>
      </c>
    </row>
    <row r="6" ht="15" customHeight="1" s="40">
      <c r="A6" s="61" t="n">
        <v>2</v>
      </c>
      <c r="B6" s="61" t="inlineStr">
        <is>
          <t>US-00</t>
        </is>
      </c>
      <c r="C6" s="61" t="inlineStr">
        <is>
          <t>Redactar specs/formato-reglas.md con JSON Schema de regla y ejemplo RE-20</t>
        </is>
      </c>
      <c r="D6" s="68" t="inlineStr">
        <is>
          <t>Dev B</t>
        </is>
      </c>
      <c r="E6" s="68" t="inlineStr">
        <is>
          <t>Hecho</t>
        </is>
      </c>
      <c r="F6" s="61" t="inlineStr">
        <is>
          <t>Borrador v0.1 del 29-sep; JSON Schema validado</t>
        </is>
      </c>
    </row>
    <row r="7" ht="15" customHeight="1" s="40">
      <c r="A7" s="61" t="n">
        <v>3</v>
      </c>
      <c r="B7" s="61" t="inlineStr">
        <is>
          <t>US-00</t>
        </is>
      </c>
      <c r="C7" s="61" t="inlineStr">
        <is>
          <t>Crear repositorio GitHub con estructura app/, specs/, rules/, prompts/, tests/, docs/</t>
        </is>
      </c>
      <c r="D7" s="68" t="inlineStr">
        <is>
          <t>Dev A</t>
        </is>
      </c>
      <c r="E7" s="68" t="inlineStr">
        <is>
          <t>Pendiente</t>
        </is>
      </c>
      <c r="F7" s="61" t="inlineStr">
        <is>
          <t>Pasa al Sprint 2</t>
        </is>
      </c>
    </row>
    <row r="8" ht="15" customHeight="1" s="40">
      <c r="A8" s="61" t="n">
        <v>4</v>
      </c>
      <c r="B8" s="61" t="inlineStr">
        <is>
          <t>US-00</t>
        </is>
      </c>
      <c r="C8" s="61" t="inlineStr">
        <is>
          <t>Docker Compose con FastAPI + PostgreSQL; README con arranque en un comando</t>
        </is>
      </c>
      <c r="D8" s="68" t="inlineStr">
        <is>
          <t>Dev A</t>
        </is>
      </c>
      <c r="E8" s="68" t="inlineStr">
        <is>
          <t>Pendiente</t>
        </is>
      </c>
      <c r="F8" s="61" t="inlineStr">
        <is>
          <t>Pasa al Sprint 2</t>
        </is>
      </c>
    </row>
    <row r="9" ht="15" customHeight="1" s="40">
      <c r="A9" s="61" t="n">
        <v>5</v>
      </c>
      <c r="B9" s="61" t="inlineStr">
        <is>
          <t>US-00</t>
        </is>
      </c>
      <c r="C9" s="61" t="inlineStr">
        <is>
          <t>Configurar GitHub Actions con Pytest</t>
        </is>
      </c>
      <c r="D9" s="68" t="inlineStr">
        <is>
          <t>Dev A</t>
        </is>
      </c>
      <c r="E9" s="68" t="inlineStr">
        <is>
          <t>Pendiente</t>
        </is>
      </c>
      <c r="F9" s="61" t="inlineStr">
        <is>
          <t>Pasa al Sprint 2</t>
        </is>
      </c>
    </row>
    <row r="10" ht="15" customHeight="1" s="40">
      <c r="A10" s="61" t="n">
        <v>6</v>
      </c>
      <c r="B10" s="61" t="inlineStr">
        <is>
          <t>US-00</t>
        </is>
      </c>
      <c r="C10" s="61" t="inlineStr">
        <is>
          <t>Crear plantilla specs/_template.md (propósito, entradas, salidas, reglas, excepciones, AC, pruebas)</t>
        </is>
      </c>
      <c r="D10" s="68" t="inlineStr">
        <is>
          <t>Dev B</t>
        </is>
      </c>
      <c r="E10" s="68" t="inlineStr">
        <is>
          <t>Hecho</t>
        </is>
      </c>
      <c r="F10" s="61" t="inlineStr">
        <is>
          <t>specs/_template.md creado el 29-sep</t>
        </is>
      </c>
    </row>
    <row r="11" ht="15" customHeight="1" s="40">
      <c r="A11" s="61" t="n">
        <v>7</v>
      </c>
      <c r="B11" s="61" t="inlineStr">
        <is>
          <t>US-00</t>
        </is>
      </c>
      <c r="C11" s="61" t="inlineStr">
        <is>
          <t>Reunir 5 PDFs de prueba anonimizados: 2 con figuras problemáticas, 1 sin figuras, 1 escaneado, 1 correcto</t>
        </is>
      </c>
      <c r="D11" s="68" t="inlineStr">
        <is>
          <t>Ambos</t>
        </is>
      </c>
      <c r="E11" s="68" t="inlineStr">
        <is>
          <t>Pendiente</t>
        </is>
      </c>
      <c r="F11" s="61" t="inlineStr">
        <is>
          <t>Pasa al Sprint 2</t>
        </is>
      </c>
    </row>
    <row r="12" ht="15" customHeight="1" s="40">
      <c r="A12" s="61" t="n">
        <v>8</v>
      </c>
      <c r="B12" s="61" t="inlineStr">
        <is>
          <t>US-00</t>
        </is>
      </c>
      <c r="C12" s="61" t="inlineStr">
        <is>
          <t>Guardar en docs/ las plantillas Word y LaTeX oficiales e innosoft.cls</t>
        </is>
      </c>
      <c r="D12" s="68" t="inlineStr">
        <is>
          <t>Dev B</t>
        </is>
      </c>
      <c r="E12" s="68" t="inlineStr">
        <is>
          <t>Pendiente</t>
        </is>
      </c>
      <c r="F12" s="61" t="inlineStr">
        <is>
          <t>Pasa al Sprint 2</t>
        </is>
      </c>
    </row>
    <row r="13" ht="15" customHeight="1" s="40">
      <c r="A13" s="61" t="n">
        <v>9</v>
      </c>
      <c r="B13" s="61" t="inlineStr">
        <is>
          <t>US-01</t>
        </is>
      </c>
      <c r="C13" s="61" t="inlineStr">
        <is>
          <t>Escribir specs/US-01.md</t>
        </is>
      </c>
      <c r="D13" s="68" t="inlineStr">
        <is>
          <t>Dev A</t>
        </is>
      </c>
      <c r="E13" s="68" t="inlineStr">
        <is>
          <t>Hecho</t>
        </is>
      </c>
      <c r="F13" s="61" t="inlineStr">
        <is>
          <t>Borrador v0.1 del 29-sep en specs/; falta revisión cruzada</t>
        </is>
      </c>
    </row>
    <row r="14" ht="15" customHeight="1" s="40">
      <c r="A14" s="61" t="n">
        <v>10</v>
      </c>
      <c r="B14" s="61" t="inlineStr">
        <is>
          <t>US-01</t>
        </is>
      </c>
      <c r="C14" s="61" t="inlineStr">
        <is>
          <t>Modelo Manuscript (id, filename, sección, estado, created_at) y migración</t>
        </is>
      </c>
      <c r="D14" s="68" t="inlineStr">
        <is>
          <t>Dev A</t>
        </is>
      </c>
      <c r="E14" s="68" t="inlineStr">
        <is>
          <t>Pendiente</t>
        </is>
      </c>
      <c r="F14" s="61" t="inlineStr">
        <is>
          <t>Pasa al Sprint 2</t>
        </is>
      </c>
    </row>
    <row r="15" ht="15" customHeight="1" s="40">
      <c r="A15" s="61" t="n">
        <v>11</v>
      </c>
      <c r="B15" s="61" t="inlineStr">
        <is>
          <t>US-01</t>
        </is>
      </c>
      <c r="C15" s="61" t="inlineStr">
        <is>
          <t>Endpoint POST /manuscripts multipart con validación MIME y tamaño</t>
        </is>
      </c>
      <c r="D15" s="68" t="inlineStr">
        <is>
          <t>Dev A</t>
        </is>
      </c>
      <c r="E15" s="68" t="inlineStr">
        <is>
          <t>Pendiente</t>
        </is>
      </c>
      <c r="F15" s="61" t="inlineStr">
        <is>
          <t>Pasa al Sprint 2</t>
        </is>
      </c>
    </row>
    <row r="16" ht="15" customHeight="1" s="40">
      <c r="A16" s="61" t="n">
        <v>12</v>
      </c>
      <c r="B16" s="61" t="inlineStr">
        <is>
          <t>US-01</t>
        </is>
      </c>
      <c r="C16" s="61" t="inlineStr">
        <is>
          <t>Almacenamiento en storage/{id}.pdf</t>
        </is>
      </c>
      <c r="D16" s="68" t="inlineStr">
        <is>
          <t>Dev A</t>
        </is>
      </c>
      <c r="E16" s="68" t="inlineStr">
        <is>
          <t>Pendiente</t>
        </is>
      </c>
      <c r="F16" s="61" t="inlineStr">
        <is>
          <t>Pasa al Sprint 2</t>
        </is>
      </c>
    </row>
    <row r="17" ht="15" customHeight="1" s="40">
      <c r="A17" s="61" t="n">
        <v>13</v>
      </c>
      <c r="B17" s="61" t="inlineStr">
        <is>
          <t>US-01</t>
        </is>
      </c>
      <c r="C17" s="61" t="inlineStr">
        <is>
          <t>Pytest: PDF válido → 202; no PDF → 400; &gt; 25 MB → 413</t>
        </is>
      </c>
      <c r="D17" s="68" t="inlineStr">
        <is>
          <t>Dev A</t>
        </is>
      </c>
      <c r="E17" s="68" t="inlineStr">
        <is>
          <t>Pendiente</t>
        </is>
      </c>
      <c r="F17" s="61" t="inlineStr">
        <is>
          <t>Pasa al Sprint 2</t>
        </is>
      </c>
    </row>
    <row r="18" ht="15" customHeight="1" s="40">
      <c r="A18" s="61" t="n">
        <v>14</v>
      </c>
      <c r="B18" s="61" t="inlineStr">
        <is>
          <t>US-04</t>
        </is>
      </c>
      <c r="C18" s="61" t="inlineStr">
        <is>
          <t>Escribir specs/US-04.md</t>
        </is>
      </c>
      <c r="D18" s="68" t="inlineStr">
        <is>
          <t>Dev A</t>
        </is>
      </c>
      <c r="E18" s="68" t="inlineStr">
        <is>
          <t>Hecho</t>
        </is>
      </c>
      <c r="F18" s="61" t="inlineStr">
        <is>
          <t>Borrador v0.1 del 29-sep en specs/; falta revisión cruzada</t>
        </is>
      </c>
    </row>
    <row r="19" ht="15" customHeight="1" s="40">
      <c r="A19" s="61" t="n">
        <v>15</v>
      </c>
      <c r="B19" s="61" t="inlineStr">
        <is>
          <t>US-04</t>
        </is>
      </c>
      <c r="C19" s="61" t="inlineStr">
        <is>
          <t>Servicio extract_text(pdf) → Document con PyMuPDF (bloques, bbox, fuente, tamaño)</t>
        </is>
      </c>
      <c r="D19" s="68" t="inlineStr">
        <is>
          <t>Dev A</t>
        </is>
      </c>
      <c r="E19" s="68" t="inlineStr">
        <is>
          <t>Pendiente</t>
        </is>
      </c>
      <c r="F19" s="61" t="inlineStr">
        <is>
          <t>Pasa al Sprint 2</t>
        </is>
      </c>
    </row>
    <row r="20" ht="15" customHeight="1" s="40">
      <c r="A20" s="61" t="n">
        <v>16</v>
      </c>
      <c r="B20" s="61" t="inlineStr">
        <is>
          <t>US-04</t>
        </is>
      </c>
      <c r="C20" s="61" t="inlineStr">
        <is>
          <t>Detección de PDF sin texto → estado unreadable (ALT-01)</t>
        </is>
      </c>
      <c r="D20" s="68" t="inlineStr">
        <is>
          <t>Dev A</t>
        </is>
      </c>
      <c r="E20" s="68" t="inlineStr">
        <is>
          <t>Pendiente</t>
        </is>
      </c>
      <c r="F20" s="61" t="inlineStr">
        <is>
          <t>Pasa al Sprint 2</t>
        </is>
      </c>
    </row>
    <row r="21" ht="15" customHeight="1" s="40">
      <c r="A21" s="61" t="n">
        <v>17</v>
      </c>
      <c r="B21" s="61" t="inlineStr">
        <is>
          <t>US-04</t>
        </is>
      </c>
      <c r="C21" s="61" t="inlineStr">
        <is>
          <t>Persistir Document como JSONB</t>
        </is>
      </c>
      <c r="D21" s="68" t="inlineStr">
        <is>
          <t>Dev A</t>
        </is>
      </c>
      <c r="E21" s="68" t="inlineStr">
        <is>
          <t>Pendiente</t>
        </is>
      </c>
      <c r="F21" s="61" t="inlineStr">
        <is>
          <t>Pasa al Sprint 2</t>
        </is>
      </c>
    </row>
    <row r="22" ht="15" customHeight="1" s="40">
      <c r="A22" s="61" t="n">
        <v>18</v>
      </c>
      <c r="B22" s="61" t="inlineStr">
        <is>
          <t>US-04</t>
        </is>
      </c>
      <c r="C22" s="61" t="inlineStr">
        <is>
          <t>Pytest con los 5 PDFs de prueba y medición de tiempo</t>
        </is>
      </c>
      <c r="D22" s="68" t="inlineStr">
        <is>
          <t>Dev A</t>
        </is>
      </c>
      <c r="E22" s="68" t="inlineStr">
        <is>
          <t>Pendiente</t>
        </is>
      </c>
      <c r="F22" s="61" t="inlineStr">
        <is>
          <t>Pasa al Sprint 2</t>
        </is>
      </c>
    </row>
    <row r="23" ht="15" customHeight="1" s="40">
      <c r="A23" s="61" t="n">
        <v>19</v>
      </c>
      <c r="B23" s="61" t="inlineStr">
        <is>
          <t>US-09</t>
        </is>
      </c>
      <c r="C23" s="61" t="inlineStr">
        <is>
          <t>Escribir specs/US-09.md</t>
        </is>
      </c>
      <c r="D23" s="68" t="inlineStr">
        <is>
          <t>Dev B</t>
        </is>
      </c>
      <c r="E23" s="68" t="inlineStr">
        <is>
          <t>Hecho</t>
        </is>
      </c>
      <c r="F23" s="61" t="inlineStr">
        <is>
          <t>Borrador v0.1 del 29-sep en specs/; falta revisión cruzada</t>
        </is>
      </c>
    </row>
    <row r="24" ht="15" customHeight="1" s="40">
      <c r="A24" s="61" t="n">
        <v>20</v>
      </c>
      <c r="B24" s="61" t="inlineStr">
        <is>
          <t>US-09</t>
        </is>
      </c>
      <c r="C24" s="61" t="inlineStr">
        <is>
          <t>Crear rules/innosoft/figuras.yaml con RE-20..RE-27</t>
        </is>
      </c>
      <c r="D24" s="68" t="inlineStr">
        <is>
          <t>Dev B</t>
        </is>
      </c>
      <c r="E24" s="68" t="inlineStr">
        <is>
          <t>Pendiente</t>
        </is>
      </c>
      <c r="F24" s="61" t="inlineStr">
        <is>
          <t>Pasa al Sprint 2</t>
        </is>
      </c>
    </row>
    <row r="25" ht="15" customHeight="1" s="40">
      <c r="A25" s="61" t="n">
        <v>21</v>
      </c>
      <c r="B25" s="61" t="inlineStr">
        <is>
          <t>US-09</t>
        </is>
      </c>
      <c r="C25" s="61" t="inlineStr">
        <is>
          <t>Loader con validación JSON Schema al arrancar y error claro si una regla es inválida</t>
        </is>
      </c>
      <c r="D25" s="68" t="inlineStr">
        <is>
          <t>Dev B</t>
        </is>
      </c>
      <c r="E25" s="68" t="inlineStr">
        <is>
          <t>Pendiente</t>
        </is>
      </c>
      <c r="F25" s="61" t="inlineStr">
        <is>
          <t>Pasa al Sprint 2</t>
        </is>
      </c>
    </row>
    <row r="26" ht="15" customHeight="1" s="40">
      <c r="A26" s="61" t="n">
        <v>22</v>
      </c>
      <c r="B26" s="61" t="inlineStr">
        <is>
          <t>US-09</t>
        </is>
      </c>
      <c r="C26" s="61" t="inlineStr">
        <is>
          <t>Endpoint GET /rules?section=original</t>
        </is>
      </c>
      <c r="D26" s="68" t="inlineStr">
        <is>
          <t>Dev B</t>
        </is>
      </c>
      <c r="E26" s="68" t="inlineStr">
        <is>
          <t>Pendiente</t>
        </is>
      </c>
      <c r="F26" s="61" t="inlineStr">
        <is>
          <t>Pasa al Sprint 2</t>
        </is>
      </c>
    </row>
    <row r="27" ht="15" customHeight="1" s="40">
      <c r="A27" s="61" t="n">
        <v>23</v>
      </c>
      <c r="B27" s="61" t="inlineStr">
        <is>
          <t>US-09</t>
        </is>
      </c>
      <c r="C27" s="61" t="inlineStr">
        <is>
          <t>Pytest: regla válida carga; regla sin id falla</t>
        </is>
      </c>
      <c r="D27" s="68" t="inlineStr">
        <is>
          <t>Dev B</t>
        </is>
      </c>
      <c r="E27" s="68" t="inlineStr">
        <is>
          <t>Pendiente</t>
        </is>
      </c>
      <c r="F27" s="61" t="inlineStr">
        <is>
          <t>Pasa al Sprint 2</t>
        </is>
      </c>
    </row>
    <row r="28" ht="15" customHeight="1" s="40">
      <c r="A28" s="61" t="n">
        <v>24</v>
      </c>
      <c r="B28" s="61" t="inlineStr">
        <is>
          <t>US-06</t>
        </is>
      </c>
      <c r="C28" s="61" t="inlineStr">
        <is>
          <t>Escribir specs/US-06.md</t>
        </is>
      </c>
      <c r="D28" s="68" t="inlineStr">
        <is>
          <t>Dev B</t>
        </is>
      </c>
      <c r="E28" s="68" t="inlineStr">
        <is>
          <t>Hecho</t>
        </is>
      </c>
      <c r="F28" s="61" t="inlineStr">
        <is>
          <t>Borrador v0.1 del 29-sep en specs/; falta revisión cruzada</t>
        </is>
      </c>
    </row>
    <row r="29" ht="15" customHeight="1" s="40">
      <c r="A29" s="61" t="n">
        <v>25</v>
      </c>
      <c r="B29" s="61" t="inlineStr">
        <is>
          <t>US-06</t>
        </is>
      </c>
      <c r="C29" s="61" t="inlineStr">
        <is>
          <t>Listar imágenes por página con bbox y píxeles reales (get_images / get_image_info)</t>
        </is>
      </c>
      <c r="D29" s="68" t="inlineStr">
        <is>
          <t>Dev B</t>
        </is>
      </c>
      <c r="E29" s="68" t="inlineStr">
        <is>
          <t>Pendiente</t>
        </is>
      </c>
      <c r="F29" s="61" t="inlineStr">
        <is>
          <t>Pasa al Sprint 2</t>
        </is>
      </c>
    </row>
    <row r="30" ht="15" customHeight="1" s="40">
      <c r="A30" s="61" t="n">
        <v>26</v>
      </c>
      <c r="B30" s="61" t="inlineStr">
        <is>
          <t>US-06</t>
        </is>
      </c>
      <c r="C30" s="61" t="inlineStr">
        <is>
          <t>Calcular dpi efectivo = px / tamaño impreso en pulgadas</t>
        </is>
      </c>
      <c r="D30" s="68" t="inlineStr">
        <is>
          <t>Dev B</t>
        </is>
      </c>
      <c r="E30" s="68" t="inlineStr">
        <is>
          <t>Pendiente</t>
        </is>
      </c>
      <c r="F30" s="61" t="inlineStr">
        <is>
          <t>Pasa al Sprint 2</t>
        </is>
      </c>
    </row>
    <row r="31" ht="15" customHeight="1" s="40">
      <c r="A31" s="61" t="n">
        <v>27</v>
      </c>
      <c r="B31" s="61" t="inlineStr">
        <is>
          <t>US-06</t>
        </is>
      </c>
      <c r="C31" s="61" t="inlineStr">
        <is>
          <t>Asociar pie de figura: primer bloque bajo el bbox que empiece con "Figura|Fig." (tolerancia 40 pt)</t>
        </is>
      </c>
      <c r="D31" s="68" t="inlineStr">
        <is>
          <t>Dev B</t>
        </is>
      </c>
      <c r="E31" s="68" t="inlineStr">
        <is>
          <t>Pendiente</t>
        </is>
      </c>
      <c r="F31" s="61" t="inlineStr">
        <is>
          <t>Pasa al Sprint 2</t>
        </is>
      </c>
    </row>
    <row r="32" ht="15" customHeight="1" s="40">
      <c r="A32" s="61" t="n">
        <v>28</v>
      </c>
      <c r="B32" s="61" t="inlineStr">
        <is>
          <t>US-06</t>
        </is>
      </c>
      <c r="C32" s="61" t="inlineStr">
        <is>
          <t>Detectar dibujos vectoriales (get_drawings) y marcarlos como vector</t>
        </is>
      </c>
      <c r="D32" s="68" t="inlineStr">
        <is>
          <t>Dev B</t>
        </is>
      </c>
      <c r="E32" s="68" t="inlineStr">
        <is>
          <t>Pendiente</t>
        </is>
      </c>
      <c r="F32" s="61" t="inlineStr">
        <is>
          <t>Pasa al Sprint 2</t>
        </is>
      </c>
    </row>
    <row r="33" ht="15" customHeight="1" s="40">
      <c r="A33" s="61" t="n">
        <v>29</v>
      </c>
      <c r="B33" s="61" t="inlineStr">
        <is>
          <t>US-06</t>
        </is>
      </c>
      <c r="C33" s="61" t="inlineStr">
        <is>
          <t>Manejar manuscrito sin figuras (ALT-03) → lista vacía</t>
        </is>
      </c>
      <c r="D33" s="68" t="inlineStr">
        <is>
          <t>Dev B</t>
        </is>
      </c>
      <c r="E33" s="68" t="inlineStr">
        <is>
          <t>Pendiente</t>
        </is>
      </c>
      <c r="F33" s="61" t="inlineStr">
        <is>
          <t>Pasa al Sprint 2</t>
        </is>
      </c>
    </row>
    <row r="34" ht="15" customHeight="1" s="40">
      <c r="A34" s="61" t="n">
        <v>30</v>
      </c>
      <c r="B34" s="61" t="inlineStr">
        <is>
          <t>US-06</t>
        </is>
      </c>
      <c r="C34" s="61" t="inlineStr">
        <is>
          <t>Pytest con PDFs de figuras pequeñas y sin pie</t>
        </is>
      </c>
      <c r="D34" s="68" t="inlineStr">
        <is>
          <t>Dev B</t>
        </is>
      </c>
      <c r="E34" s="68" t="inlineStr">
        <is>
          <t>Pendiente</t>
        </is>
      </c>
      <c r="F34" s="61" t="inlineStr">
        <is>
          <t>Pasa al Sprint 2</t>
        </is>
      </c>
    </row>
    <row r="35" ht="15" customHeight="1" s="40">
      <c r="A35" s="61" t="n">
        <v>31</v>
      </c>
      <c r="B35" s="61" t="inlineStr">
        <is>
          <t>US-10</t>
        </is>
      </c>
      <c r="C35" s="61" t="inlineStr">
        <is>
          <t>Escribir specs/US-10.md</t>
        </is>
      </c>
      <c r="D35" s="68" t="inlineStr">
        <is>
          <t>Dev B</t>
        </is>
      </c>
      <c r="E35" s="68" t="inlineStr">
        <is>
          <t>Hecho</t>
        </is>
      </c>
      <c r="F35" s="61" t="inlineStr">
        <is>
          <t>Borrador v0.1 del 29-sep en specs/; falta revisión cruzada</t>
        </is>
      </c>
    </row>
    <row r="36" ht="15" customHeight="1" s="40">
      <c r="A36" s="61" t="n">
        <v>32</v>
      </c>
      <c r="B36" s="61" t="inlineStr">
        <is>
          <t>US-10</t>
        </is>
      </c>
      <c r="C36" s="61" t="inlineStr">
        <is>
          <t>Motor mínimo run_rules(document, rules) → list[Finding] con captura de excepciones por regla</t>
        </is>
      </c>
      <c r="D36" s="68" t="inlineStr">
        <is>
          <t>Dev B</t>
        </is>
      </c>
      <c r="E36" s="68" t="inlineStr">
        <is>
          <t>Pendiente</t>
        </is>
      </c>
      <c r="F36" s="61" t="inlineStr">
        <is>
          <t>Pasa al Sprint 2</t>
        </is>
      </c>
    </row>
    <row r="37" ht="15" customHeight="1" s="40">
      <c r="A37" s="61" t="n">
        <v>33</v>
      </c>
      <c r="B37" s="61" t="inlineStr">
        <is>
          <t>US-10</t>
        </is>
      </c>
      <c r="C37" s="61" t="inlineStr">
        <is>
          <t>Evaluador RE-20 (px mínimos / proporción) y RE-21 (dpi ≥ 300)</t>
        </is>
      </c>
      <c r="D37" s="68" t="inlineStr">
        <is>
          <t>Dev B</t>
        </is>
      </c>
      <c r="E37" s="68" t="inlineStr">
        <is>
          <t>Pendiente</t>
        </is>
      </c>
      <c r="F37" s="61" t="inlineStr">
        <is>
          <t>Pasa al Sprint 2</t>
        </is>
      </c>
    </row>
    <row r="38" ht="15" customHeight="1" s="40">
      <c r="A38" s="61" t="n">
        <v>34</v>
      </c>
      <c r="B38" s="61" t="inlineStr">
        <is>
          <t>US-10</t>
        </is>
      </c>
      <c r="C38" s="61" t="inlineStr">
        <is>
          <t>Endpoint GET /manuscripts/{id}/findings</t>
        </is>
      </c>
      <c r="D38" s="68" t="inlineStr">
        <is>
          <t>Dev B</t>
        </is>
      </c>
      <c r="E38" s="68" t="inlineStr">
        <is>
          <t>Pendiente</t>
        </is>
      </c>
      <c r="F38" s="61" t="inlineStr">
        <is>
          <t>Pasa al Sprint 2</t>
        </is>
      </c>
    </row>
    <row r="39" ht="15" customHeight="1" s="40">
      <c r="A39" s="61" t="n">
        <v>35</v>
      </c>
      <c r="B39" s="61" t="inlineStr">
        <is>
          <t>US-10</t>
        </is>
      </c>
      <c r="C39" s="61" t="inlineStr">
        <is>
          <t>Pytest: 300×600 px falla RE-20; 800×2000 px a 300 dpi pasa</t>
        </is>
      </c>
      <c r="D39" s="68" t="inlineStr">
        <is>
          <t>Dev B</t>
        </is>
      </c>
      <c r="E39" s="68" t="inlineStr">
        <is>
          <t>Pendiente</t>
        </is>
      </c>
      <c r="F39" s="61" t="inlineStr">
        <is>
          <t>Pasa al Sprint 2</t>
        </is>
      </c>
    </row>
    <row r="40" ht="15" customHeight="1" s="40">
      <c r="A40" s="61" t="n">
        <v>36</v>
      </c>
      <c r="B40" s="61" t="inlineStr">
        <is>
          <t>US-07</t>
        </is>
      </c>
      <c r="C40" s="61" t="inlineStr">
        <is>
          <t>Escribir specs/US-07.md (stretch)</t>
        </is>
      </c>
      <c r="D40" s="68" t="inlineStr">
        <is>
          <t>Dev A</t>
        </is>
      </c>
      <c r="E40" s="68" t="inlineStr">
        <is>
          <t>Hecho</t>
        </is>
      </c>
      <c r="F40" s="61" t="inlineStr">
        <is>
          <t>Borrador v0.1 del 29-sep en specs/; falta revisión cruzada</t>
        </is>
      </c>
    </row>
    <row r="41" ht="15" customHeight="1" s="40">
      <c r="A41" s="61" t="n">
        <v>37</v>
      </c>
      <c r="B41" s="61" t="inlineStr">
        <is>
          <t>US-07</t>
        </is>
      </c>
      <c r="C41" s="61" t="inlineStr">
        <is>
          <t>Regex + contexto para [1], [3, 4], [1]–[5]; posición y puntuación adyacente</t>
        </is>
      </c>
      <c r="D41" s="68" t="inlineStr">
        <is>
          <t>Dev A</t>
        </is>
      </c>
      <c r="E41" s="68" t="inlineStr">
        <is>
          <t>Pendiente</t>
        </is>
      </c>
      <c r="F41" s="61" t="inlineStr">
        <is>
          <t>Pasa al Sprint 3</t>
        </is>
      </c>
    </row>
    <row r="42" ht="15" customHeight="1" s="40">
      <c r="A42" s="61" t="n">
        <v>38</v>
      </c>
      <c r="B42" s="61" t="inlineStr">
        <is>
          <t>US-07</t>
        </is>
      </c>
      <c r="C42" s="61" t="inlineStr">
        <is>
          <t>Detectar citas autor-año como candidatas</t>
        </is>
      </c>
      <c r="D42" s="68" t="inlineStr">
        <is>
          <t>Dev A</t>
        </is>
      </c>
      <c r="E42" s="68" t="inlineStr">
        <is>
          <t>Pendiente</t>
        </is>
      </c>
      <c r="F42" s="61" t="inlineStr">
        <is>
          <t>Pasa al Sprint 3</t>
        </is>
      </c>
    </row>
    <row r="44" ht="15" customHeight="1" s="40">
      <c r="C44" s="66" t="inlineStr">
        <is>
          <t>Avance del sprint</t>
        </is>
      </c>
    </row>
    <row r="45" ht="15" customHeight="1" s="40">
      <c r="C45" s="52" t="inlineStr">
        <is>
          <t>Tareas totales</t>
        </is>
      </c>
      <c r="D45" s="39">
        <f>COUNTA(C5:C42)</f>
        <v/>
      </c>
    </row>
    <row r="46" ht="15" customHeight="1" s="40">
      <c r="C46" s="52" t="inlineStr">
        <is>
          <t>Tareas hechas</t>
        </is>
      </c>
      <c r="D46" s="39">
        <f>COUNTIF(E5:E42,"Hecho")</f>
        <v/>
      </c>
    </row>
    <row r="47" ht="15" customHeight="1" s="40">
      <c r="C47" s="52" t="inlineStr">
        <is>
          <t>Tareas bloqueadas</t>
        </is>
      </c>
      <c r="D47" s="39">
        <f>COUNTIF(E5:E42,"Bloqueada")</f>
        <v/>
      </c>
    </row>
    <row r="48" ht="15" customHeight="1" s="40">
      <c r="C48" s="66" t="inlineStr">
        <is>
          <t>% avance</t>
        </is>
      </c>
      <c r="D48" s="69">
        <f>IF(D45&gt;0,D46/D45,0)</f>
        <v/>
      </c>
    </row>
    <row r="50" ht="15" customHeight="1" s="40">
      <c r="C50" s="66" t="inlineStr">
        <is>
          <t>Avance por historia</t>
        </is>
      </c>
    </row>
    <row r="51" ht="15" customHeight="1" s="40">
      <c r="C51" s="52" t="inlineStr">
        <is>
          <t>US-00</t>
        </is>
      </c>
      <c r="D51" s="69">
        <f>IF(COUNTIF(B5:B42,C51)&gt;0,COUNTIFS(B5:B42,C51,E5:E42,"Hecho")/COUNTIF(B5:B42,C51),0)</f>
        <v/>
      </c>
    </row>
    <row r="52" ht="15" customHeight="1" s="40">
      <c r="C52" s="52" t="inlineStr">
        <is>
          <t>US-01</t>
        </is>
      </c>
      <c r="D52" s="69">
        <f>IF(COUNTIF(B5:B42,C52)&gt;0,COUNTIFS(B5:B42,C52,E5:E42,"Hecho")/COUNTIF(B5:B42,C52),0)</f>
        <v/>
      </c>
    </row>
    <row r="53" ht="15" customHeight="1" s="40">
      <c r="C53" s="52" t="inlineStr">
        <is>
          <t>US-04</t>
        </is>
      </c>
      <c r="D53" s="69">
        <f>IF(COUNTIF(B5:B42,C53)&gt;0,COUNTIFS(B5:B42,C53,E5:E42,"Hecho")/COUNTIF(B5:B42,C53),0)</f>
        <v/>
      </c>
    </row>
    <row r="54" ht="15" customHeight="1" s="40">
      <c r="C54" s="52" t="inlineStr">
        <is>
          <t>US-09</t>
        </is>
      </c>
      <c r="D54" s="69">
        <f>IF(COUNTIF(B5:B42,C54)&gt;0,COUNTIFS(B5:B42,C54,E5:E42,"Hecho")/COUNTIF(B5:B42,C54),0)</f>
        <v/>
      </c>
    </row>
    <row r="55" ht="15" customHeight="1" s="40">
      <c r="C55" s="52" t="inlineStr">
        <is>
          <t>US-06</t>
        </is>
      </c>
      <c r="D55" s="69">
        <f>IF(COUNTIF(B5:B42,C55)&gt;0,COUNTIFS(B5:B42,C55,E5:E42,"Hecho")/COUNTIF(B5:B42,C55),0)</f>
        <v/>
      </c>
    </row>
    <row r="56" ht="15" customHeight="1" s="40">
      <c r="C56" s="52" t="inlineStr">
        <is>
          <t>US-10</t>
        </is>
      </c>
      <c r="D56" s="69">
        <f>IF(COUNTIF(B5:B42,C56)&gt;0,COUNTIFS(B5:B42,C56,E5:E42,"Hecho")/COUNTIF(B5:B42,C56),0)</f>
        <v/>
      </c>
    </row>
    <row r="57" ht="15" customHeight="1" s="40">
      <c r="C57" s="52" t="inlineStr">
        <is>
          <t>US-07</t>
        </is>
      </c>
      <c r="D57" s="69">
        <f>IF(COUNTIF(B5:B42,C57)&gt;0,COUNTIFS(B5:B42,C57,E5:E42,"Hecho")/COUNTIF(B5:B42,C57),0)</f>
        <v/>
      </c>
    </row>
  </sheetData>
  <autoFilter ref="A4:F42"/>
  <dataValidations count="1">
    <dataValidation sqref="E5:E42" showDropDown="0" showInputMessage="0" showErrorMessage="0" allowBlank="0" type="list" errorStyle="stop" operator="between">
      <formula1>"Pendiente,En curso,Hecho,Bloqueada"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39" min="1" max="1"/>
    <col width="8" customWidth="1" style="39" min="2" max="2"/>
    <col width="42" customWidth="1" style="39" min="3" max="3"/>
    <col width="18" customWidth="1" style="39" min="4" max="4"/>
    <col width="8" customWidth="1" style="39" min="5" max="5"/>
    <col width="12" customWidth="1" style="39" min="6" max="6"/>
    <col width="80" customWidth="1" style="39" min="7" max="7"/>
    <col width="14" customWidth="1" style="39" min="8" max="8"/>
  </cols>
  <sheetData>
    <row r="1" ht="15.75" customHeight="1" s="40">
      <c r="A1" s="41" t="inlineStr">
        <is>
          <t>Sprint 2 — 28 de septiembre al 9 de octubre de 2026 (replanificado el 29-sep; 8 días hábiles restantes)</t>
        </is>
      </c>
    </row>
    <row r="2" ht="48" customHeight="1" s="40">
      <c r="A2" s="45" t="inlineStr">
        <is>
          <t>Sprint Goal: Contar con un walking skeleton en Docker que reciba un PDF de Innosoft, extraiga texto y figuras, aplique RE-20 y RE-21 desde rules/innosoft/figuras.yaml y devuelva un JSON de incumplimientos con ubicación, con las specs del sprint aprobadas. (Objetivo original del Sprint 1.)</t>
        </is>
      </c>
    </row>
    <row r="4" ht="15" customHeight="1" s="40">
      <c r="A4" s="43" t="inlineStr">
        <is>
          <t>Orden</t>
        </is>
      </c>
      <c r="B4" s="43" t="inlineStr">
        <is>
          <t>ID</t>
        </is>
      </c>
      <c r="C4" s="43" t="inlineStr">
        <is>
          <t>Historia</t>
        </is>
      </c>
      <c r="D4" s="43" t="inlineStr">
        <is>
          <t>Reglas</t>
        </is>
      </c>
      <c r="E4" s="43" t="inlineStr">
        <is>
          <t>Effort</t>
        </is>
      </c>
      <c r="F4" s="43" t="inlineStr">
        <is>
          <t>Responsable</t>
        </is>
      </c>
      <c r="G4" s="43" t="inlineStr">
        <is>
          <t>Criterios de aceptación</t>
        </is>
      </c>
      <c r="H4" s="43" t="inlineStr">
        <is>
          <t>Estado</t>
        </is>
      </c>
    </row>
    <row r="5" ht="34.5" customHeight="1" s="40">
      <c r="A5" s="61" t="n">
        <v>1</v>
      </c>
      <c r="B5" s="61" t="inlineStr">
        <is>
          <t>US-00</t>
        </is>
      </c>
      <c r="C5" s="61" t="inlineStr">
        <is>
          <t>Aprobación de specs y configuración del entorno (resto de la historia técnica)</t>
        </is>
      </c>
      <c r="D5" s="61" t="inlineStr">
        <is>
          <t>—</t>
        </is>
      </c>
      <c r="E5" s="68" t="n">
        <v>0.5</v>
      </c>
      <c r="F5" s="61" t="inlineStr">
        <is>
          <t>Ambos</t>
        </is>
      </c>
      <c r="G5" s="61" t="inlineStr">
        <is>
          <t>00-producto.md, formato-reglas.md y specs del sprint aprobadas por ambos (hecho); repositorio con CI; Docker Compose (agent-api y PostgreSQL) arranca con un comando; 5 PDFs de prueba anonimizados; plantillas oficiales e innosoft.cls en docs/.</t>
        </is>
      </c>
      <c r="H5" s="68" t="inlineStr">
        <is>
          <t>Comprometida</t>
        </is>
      </c>
    </row>
    <row r="6" ht="23.25" customHeight="1" s="40">
      <c r="A6" s="61" t="n">
        <v>2</v>
      </c>
      <c r="B6" s="61" t="inlineStr">
        <is>
          <t>US-01</t>
        </is>
      </c>
      <c r="C6" s="61" t="inlineStr">
        <is>
          <t>Recibir PDF por API</t>
        </is>
      </c>
      <c r="D6" s="61" t="inlineStr">
        <is>
          <t>—</t>
        </is>
      </c>
      <c r="E6" s="68" t="n">
        <v>0.25</v>
      </c>
      <c r="F6" s="61" t="inlineStr">
        <is>
          <t>Dev A</t>
        </is>
      </c>
      <c r="G6" s="61" t="inlineStr">
        <is>
          <t>POST /manuscripts acepta PDF ≤ 25 MB + metadatos y responde 202 con manuscript_id; 400 si no es PDF; 413 si excede tamaño; el archivo y el estado "received" quedan persistidos; reenvío idéntico → 200 con el manuscript_id existente (D-01).</t>
        </is>
      </c>
      <c r="H6" s="68" t="inlineStr">
        <is>
          <t>Comprometida</t>
        </is>
      </c>
    </row>
    <row r="7" ht="23.25" customHeight="1" s="40">
      <c r="A7" s="61" t="n">
        <v>3</v>
      </c>
      <c r="B7" s="61" t="inlineStr">
        <is>
          <t>US-04</t>
        </is>
      </c>
      <c r="C7" s="61" t="inlineStr">
        <is>
          <t>Extraer texto y páginas</t>
        </is>
      </c>
      <c r="D7" s="61" t="inlineStr">
        <is>
          <t>—</t>
        </is>
      </c>
      <c r="E7" s="68" t="n">
        <v>0.5</v>
      </c>
      <c r="F7" s="61" t="inlineStr">
        <is>
          <t>Dev A</t>
        </is>
      </c>
      <c r="G7" s="61" t="inlineStr">
        <is>
          <t>Salida JSON por página con bloques, bbox, fuente y tamaño; PDF sin capa de texto → estado "unreadable" y aviso (ALT-01); 30 páginas en menos de 10 s; persistido como JSONB.</t>
        </is>
      </c>
      <c r="H7" s="68" t="inlineStr">
        <is>
          <t>Comprometida</t>
        </is>
      </c>
    </row>
    <row r="8" ht="34.5" customHeight="1" s="40">
      <c r="A8" s="61" t="n">
        <v>4</v>
      </c>
      <c r="B8" s="61" t="inlineStr">
        <is>
          <t>US-09</t>
        </is>
      </c>
      <c r="C8" s="61" t="inlineStr">
        <is>
          <t>Cargar reglas Innosoft desde YAML</t>
        </is>
      </c>
      <c r="D8" s="61" t="inlineStr">
        <is>
          <t>RE-20..27 definidas</t>
        </is>
      </c>
      <c r="E8" s="68" t="n">
        <v>0.5</v>
      </c>
      <c r="F8" s="61" t="inlineStr">
        <is>
          <t>Dev B</t>
        </is>
      </c>
      <c r="G8" s="61" t="inlineStr">
        <is>
          <t>Cada regla tiene id, categoría, descripción, condición, severidad, mensaje, sección y fuente; se valida contra JSON Schema al arrancar; regla inválida detiene el arranque con mensaje claro; GET /rules disponible.</t>
        </is>
      </c>
      <c r="H8" s="68" t="inlineStr">
        <is>
          <t>Comprometida</t>
        </is>
      </c>
    </row>
    <row r="9" ht="23.25" customHeight="1" s="40">
      <c r="A9" s="61" t="n">
        <v>5</v>
      </c>
      <c r="B9" s="61" t="inlineStr">
        <is>
          <t>US-06</t>
        </is>
      </c>
      <c r="C9" s="61" t="inlineStr">
        <is>
          <t>Extraer figuras: posición, tamaño, pie</t>
        </is>
      </c>
      <c r="D9" s="61" t="inlineStr">
        <is>
          <t>—</t>
        </is>
      </c>
      <c r="E9" s="68" t="n">
        <v>0.75</v>
      </c>
      <c r="F9" s="61" t="inlineStr">
        <is>
          <t>Dev B</t>
        </is>
      </c>
      <c r="G9" s="61" t="inlineStr">
        <is>
          <t>Por cada imagen: página, bbox, px reales, dpi efectivo y pie asociado ("Figura n."); imágenes vectoriales marcadas como vector; manuscrito sin figuras devuelve lista vacía (ALT-03).</t>
        </is>
      </c>
      <c r="H9" s="68" t="inlineStr">
        <is>
          <t>Comprometida</t>
        </is>
      </c>
    </row>
    <row r="10" ht="34.5" customHeight="1" s="40">
      <c r="A10" s="61" t="n">
        <v>6</v>
      </c>
      <c r="B10" s="61" t="inlineStr">
        <is>
          <t>US-10</t>
        </is>
      </c>
      <c r="C10" s="61" t="inlineStr">
        <is>
          <t>Validar figuras: tamaño y proporción</t>
        </is>
      </c>
      <c r="D10" s="61" t="inlineStr">
        <is>
          <t>RE-20, RE-21</t>
        </is>
      </c>
      <c r="E10" s="68" t="n">
        <v>0.5</v>
      </c>
      <c r="F10" s="61" t="inlineStr">
        <is>
          <t>Dev B</t>
        </is>
      </c>
      <c r="G10" s="61" t="inlineStr">
        <is>
          <t>Motor run_rules tolerante a fallos por regla; hallazgos con rule_id, severidad, página, figura, encontrado y esperado; GET /manuscripts/{id}/findings; pruebas: figura 300×600 px falla RE-20, figura 800×2000 px a 300 dpi pasa.</t>
        </is>
      </c>
      <c r="H10" s="68" t="inlineStr">
        <is>
          <t>Comprometida</t>
        </is>
      </c>
    </row>
    <row r="11" ht="23.25" customHeight="1" s="40">
      <c r="A11" s="61" t="n"/>
      <c r="B11" s="61" t="n"/>
      <c r="C11" s="61" t="n"/>
      <c r="D11" s="61" t="n"/>
      <c r="E11" s="68" t="n"/>
      <c r="F11" s="61" t="n"/>
      <c r="G11" s="61" t="n"/>
      <c r="H11" s="68" t="n"/>
    </row>
    <row r="13" ht="15" customHeight="1" s="40">
      <c r="C13" s="66" t="inlineStr">
        <is>
          <t>Effort comprometido</t>
        </is>
      </c>
      <c r="E13" s="39">
        <f>SUMIF(H5:H10,"Comprometida",E5:E10)</f>
        <v/>
      </c>
    </row>
    <row r="14" ht="15" customHeight="1" s="40">
      <c r="C14" s="66" t="inlineStr">
        <is>
          <t>Effort stretch</t>
        </is>
      </c>
      <c r="E14" s="39">
        <f>SUMIF(H5:H10,"Stretch",E5:E10)</f>
        <v/>
      </c>
    </row>
    <row r="15" ht="15" customHeight="1" s="40">
      <c r="C15" s="44" t="inlineStr">
        <is>
          <t>Effort terminado</t>
        </is>
      </c>
      <c r="E15" s="52">
        <f>SUMIF(H5:H10,"Hecha",E5:E10)</f>
        <v/>
      </c>
    </row>
    <row r="16" ht="31.5" customHeight="1" s="40">
      <c r="C16" s="45" t="inlineStr">
        <is>
          <t>Regla de recorte: si el martes 6-oct US-01 y US-04 no están en main, US-06 se limita a figuras raster y US-10 a RE-20. El Sprint Goal se cumple con US-00, US-01, US-04, US-09 y US-06 completas y RE-20 evaluándose.</t>
        </is>
      </c>
    </row>
    <row r="18" ht="15" customHeight="1" s="40">
      <c r="C18" s="66" t="inlineStr">
        <is>
          <t>Definition of Done</t>
        </is>
      </c>
    </row>
    <row r="19" ht="15" customHeight="1" s="40">
      <c r="C19" s="52" t="inlineStr">
        <is>
          <t>1. La spec de la historia existe, fue revisada por el otro developer y coincide con lo implementado.</t>
        </is>
      </c>
    </row>
    <row r="20" ht="15" customHeight="1" s="40">
      <c r="C20" s="52" t="inlineStr">
        <is>
          <t>2. Pruebas Pytest en verde en GitHub Actions.</t>
        </is>
      </c>
    </row>
    <row r="21" ht="15" customHeight="1" s="40">
      <c r="C21" s="52" t="inlineStr">
        <is>
          <t>3. Código en main mediante pull request revisado.</t>
        </is>
      </c>
    </row>
    <row r="22" ht="15" customHeight="1" s="40">
      <c r="C22" s="52" t="inlineStr">
        <is>
          <t>4. Cada hallazgo devuelto tiene rule_id trazable a rules/*.yaml.</t>
        </is>
      </c>
    </row>
    <row r="23" ht="15" customHeight="1" s="40">
      <c r="C23" s="52" t="inlineStr">
        <is>
          <t>5. Demo reproducible con docker compose up + curl en la Sprint Review.</t>
        </is>
      </c>
    </row>
    <row r="25" ht="15" customHeight="1" s="40">
      <c r="C25" s="66" t="inlineStr">
        <is>
          <t>Riesgos</t>
        </is>
      </c>
    </row>
    <row r="26" ht="15" customHeight="1" s="40">
      <c r="C26" s="66" t="inlineStr">
        <is>
          <t>Riesgo</t>
        </is>
      </c>
      <c r="G26" s="66" t="inlineStr">
        <is>
          <t>Mitigación</t>
        </is>
      </c>
    </row>
    <row r="27" ht="23.25" customHeight="1" s="40">
      <c r="C27" s="45" t="inlineStr">
        <is>
          <t>Figuras vectoriales en PDFs generados desde LaTeX no aparecen como imágenes</t>
        </is>
      </c>
      <c r="G27" s="45" t="inlineStr">
        <is>
          <t>Detectar también dibujos vectoriales (page.get_drawings) y marcarlos como vector; RE-21 no aplica a vectores</t>
        </is>
      </c>
    </row>
    <row r="28" ht="15" customHeight="1" s="40">
      <c r="C28" s="45" t="inlineStr">
        <is>
          <t>Falta innosoft.cls y estilos internos del .docx</t>
        </is>
      </c>
      <c r="G28" s="45" t="inlineStr">
        <is>
          <t>Solicitarlos al equipo editorial; los valores de RE-20..27 se ajustan en YAML sin tocar código</t>
        </is>
      </c>
    </row>
    <row r="29" ht="15" customHeight="1" s="40">
      <c r="C29" s="45" t="inlineStr">
        <is>
          <t>Capacidad real menor a la planificada (el Sprint 1 no produjo código)</t>
        </is>
      </c>
      <c r="G29" s="45" t="inlineStr">
        <is>
          <t>Mismo effort que el Sprint 1 (3,0) en 8 días; punto de control el 6-oct; US-10 primer recorte</t>
        </is>
      </c>
    </row>
    <row r="30" ht="23.25" customHeight="1" s="40">
      <c r="C30" s="45" t="inlineStr">
        <is>
          <t>Repetir el patrón del Sprint 1: quedarse en documentación</t>
        </is>
      </c>
      <c r="G30" s="45" t="inlineStr">
        <is>
          <t>Timebox: specs aprobadas el 30-sep; desde el 1-oct solo código. Cambios de spec, por PR pequeño.</t>
        </is>
      </c>
    </row>
    <row r="31" ht="15" customHeight="1" s="40">
      <c r="C31" s="45" t="inlineStr">
        <is>
          <t>Procesamiento asíncrono</t>
        </is>
      </c>
      <c r="G31" s="45" t="inlineStr">
        <is>
          <t>Decisión D-04: BackgroundTasks de FastAPI en esta etapa; Celery + Redis en una fase posterior sin cambiar la API</t>
        </is>
      </c>
    </row>
    <row r="32" ht="15" customHeight="1" s="40">
      <c r="C32" s="45" t="n"/>
    </row>
    <row r="33" ht="15" customHeight="1" s="40">
      <c r="C33" s="45" t="n"/>
    </row>
    <row r="34" ht="15" customHeight="1" s="40">
      <c r="C34" s="45" t="n"/>
    </row>
    <row r="35" ht="15" customHeight="1" s="40">
      <c r="C35" s="45" t="n"/>
    </row>
    <row r="36" ht="15" customHeight="1" s="40">
      <c r="C36" s="45" t="n"/>
    </row>
  </sheetData>
  <mergeCells count="7">
    <mergeCell ref="C31:F31"/>
    <mergeCell ref="C16:G16"/>
    <mergeCell ref="A2:H2"/>
    <mergeCell ref="C29:F29"/>
    <mergeCell ref="C30:F30"/>
    <mergeCell ref="C27:F27"/>
    <mergeCell ref="C28:F28"/>
  </mergeCells>
  <dataValidations count="1">
    <dataValidation sqref="H5:H10" showDropDown="0" showInputMessage="0" showErrorMessage="0" allowBlank="1" type="list" errorStyle="stop" operator="between">
      <formula1>"Comprometida,Stretch,Hecha,Parcial,Arrastrada,Recortada"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39" min="1" max="1"/>
    <col width="10" customWidth="1" style="39" min="2" max="2"/>
    <col width="90" customWidth="1" style="39" min="3" max="3"/>
    <col width="12" customWidth="1" style="39" min="4" max="5"/>
    <col width="30" customWidth="1" style="39" min="6" max="6"/>
  </cols>
  <sheetData>
    <row r="1" ht="15.75" customHeight="1" s="40">
      <c r="A1" s="41" t="inlineStr">
        <is>
          <t>Sprint Backlog — Tareas del Sprint 2 (replanificado el 29-sep-2026)</t>
        </is>
      </c>
    </row>
    <row r="2" ht="15" customHeight="1" s="40">
      <c r="A2" s="42" t="inlineStr">
        <is>
          <t>Actualice la columna Estado durante el sprint. El avance se calcula automáticamente.</t>
        </is>
      </c>
    </row>
    <row r="4" ht="23.25" customHeight="1" s="40">
      <c r="A4" s="43" t="inlineStr">
        <is>
          <t>#</t>
        </is>
      </c>
      <c r="B4" s="43" t="inlineStr">
        <is>
          <t>Historia</t>
        </is>
      </c>
      <c r="C4" s="43" t="inlineStr">
        <is>
          <t>Tarea</t>
        </is>
      </c>
      <c r="D4" s="43" t="inlineStr">
        <is>
          <t>Responsable</t>
        </is>
      </c>
      <c r="E4" s="43" t="inlineStr">
        <is>
          <t>Estado</t>
        </is>
      </c>
      <c r="F4" s="43" t="inlineStr">
        <is>
          <t>Notas</t>
        </is>
      </c>
    </row>
    <row r="5" ht="15" customHeight="1" s="40">
      <c r="A5" s="61" t="n">
        <v>1</v>
      </c>
      <c r="B5" s="61" t="inlineStr">
        <is>
          <t>US-00</t>
        </is>
      </c>
      <c r="C5" s="61" t="inlineStr">
        <is>
          <t>Revisar y aprobar specs/00-producto.md y specs/formato-reglas.md (fecha límite 30-sep)</t>
        </is>
      </c>
      <c r="D5" s="68" t="inlineStr">
        <is>
          <t>Ambos</t>
        </is>
      </c>
      <c r="E5" s="68" t="inlineStr">
        <is>
          <t>Hecho</t>
        </is>
      </c>
      <c r="F5" s="61" t="inlineStr">
        <is>
          <t>Aprobadas v1.0 (decisiones D-01..D-04)</t>
        </is>
      </c>
    </row>
    <row r="6" ht="15" customHeight="1" s="40">
      <c r="A6" s="61" t="n">
        <v>2</v>
      </c>
      <c r="B6" s="61" t="inlineStr">
        <is>
          <t>US-00</t>
        </is>
      </c>
      <c r="C6" s="61" t="inlineStr">
        <is>
          <t>Revisión cruzada y aprobación de specs US-01, US-04, US-06, US-09, US-10 (fecha límite 30-sep)</t>
        </is>
      </c>
      <c r="D6" s="68" t="inlineStr">
        <is>
          <t>Ambos</t>
        </is>
      </c>
      <c r="E6" s="68" t="inlineStr">
        <is>
          <t>Hecho</t>
        </is>
      </c>
      <c r="F6" s="61" t="inlineStr">
        <is>
          <t>Aprobadas v1.0</t>
        </is>
      </c>
    </row>
    <row r="7" ht="15" customHeight="1" s="40">
      <c r="A7" s="61" t="n">
        <v>3</v>
      </c>
      <c r="B7" s="61" t="inlineStr">
        <is>
          <t>US-00</t>
        </is>
      </c>
      <c r="C7" s="61" t="inlineStr">
        <is>
          <t>Crear repositorio GitHub con app/, specs/, rules/, prompts/, tests/, docs/ y subir specs y diagramas</t>
        </is>
      </c>
      <c r="D7" s="68" t="inlineStr">
        <is>
          <t>Dev A</t>
        </is>
      </c>
      <c r="E7" s="68" t="inlineStr">
        <is>
          <t>Hecho</t>
        </is>
      </c>
      <c r="F7" s="61" t="n"/>
    </row>
    <row r="8" ht="15" customHeight="1" s="40">
      <c r="A8" s="61" t="n">
        <v>4</v>
      </c>
      <c r="B8" s="61" t="inlineStr">
        <is>
          <t>US-00</t>
        </is>
      </c>
      <c r="C8" s="61" t="inlineStr">
        <is>
          <t>Docker Compose con agent-api (FastAPI) y PostgreSQL; README con arranque en un comando (Celery + Redis en una fase posterior, D-04)</t>
        </is>
      </c>
      <c r="D8" s="68" t="inlineStr">
        <is>
          <t>Dev A</t>
        </is>
      </c>
      <c r="E8" s="68" t="inlineStr">
        <is>
          <t>Hecho</t>
        </is>
      </c>
      <c r="F8" s="61" t="n"/>
    </row>
    <row r="9" ht="15" customHeight="1" s="40">
      <c r="A9" s="61" t="n">
        <v>5</v>
      </c>
      <c r="B9" s="61" t="inlineStr">
        <is>
          <t>US-00</t>
        </is>
      </c>
      <c r="C9" s="61" t="inlineStr">
        <is>
          <t>Configurar GitHub Actions con Pytest y protección de main</t>
        </is>
      </c>
      <c r="D9" s="68" t="inlineStr">
        <is>
          <t>Dev A</t>
        </is>
      </c>
      <c r="E9" s="68" t="inlineStr">
        <is>
          <t>Hecho</t>
        </is>
      </c>
      <c r="F9" s="61" t="n"/>
    </row>
    <row r="10" ht="15" customHeight="1" s="40">
      <c r="A10" s="61" t="n">
        <v>6</v>
      </c>
      <c r="B10" s="61" t="inlineStr">
        <is>
          <t>US-00</t>
        </is>
      </c>
      <c r="C10" s="61" t="inlineStr">
        <is>
          <t>Reunir 5 PDFs de prueba anonimizados: 2 con figuras problemáticas, 1 sin figuras, 1 escaneado, 1 correcto</t>
        </is>
      </c>
      <c r="D10" s="68" t="inlineStr">
        <is>
          <t>Ambos</t>
        </is>
      </c>
      <c r="E10" s="68" t="inlineStr">
        <is>
          <t>Hecho</t>
        </is>
      </c>
      <c r="F10" s="61" t="n"/>
    </row>
    <row r="11" ht="15" customHeight="1" s="40">
      <c r="A11" s="61" t="n">
        <v>7</v>
      </c>
      <c r="B11" s="61" t="inlineStr">
        <is>
          <t>US-00</t>
        </is>
      </c>
      <c r="C11" s="61" t="inlineStr">
        <is>
          <t>Guardar en docs/ las plantillas Word y LaTeX oficiales e innosoft.cls</t>
        </is>
      </c>
      <c r="D11" s="68" t="inlineStr">
        <is>
          <t>Dev B</t>
        </is>
      </c>
      <c r="E11" s="68" t="inlineStr">
        <is>
          <t>Hecho</t>
        </is>
      </c>
      <c r="F11" s="61" t="n"/>
    </row>
    <row r="12" ht="15" customHeight="1" s="40">
      <c r="A12" s="61" t="n">
        <v>8</v>
      </c>
      <c r="B12" s="61" t="inlineStr">
        <is>
          <t>US-00</t>
        </is>
      </c>
      <c r="C12" s="61" t="inlineStr">
        <is>
          <t>Consultar a la revista la regla panorámica de RE-20 (no bloqueante: se aprobó el supuesto 531 × 1328 px, D-03) y los section_id de las 3 secciones en OJS</t>
        </is>
      </c>
      <c r="D12" s="68" t="inlineStr">
        <is>
          <t>Ambos</t>
        </is>
      </c>
      <c r="E12" s="68" t="inlineStr">
        <is>
          <t>Pendiente</t>
        </is>
      </c>
      <c r="F12" s="61" t="n"/>
    </row>
    <row r="13" ht="15" customHeight="1" s="40">
      <c r="A13" s="61" t="n">
        <v>9</v>
      </c>
      <c r="B13" s="61" t="inlineStr">
        <is>
          <t>US-01</t>
        </is>
      </c>
      <c r="C13" s="61" t="inlineStr">
        <is>
          <t>Modelo Manuscript (id, submission_id, sha256, sección, estado, created_at) y migración Alembic</t>
        </is>
      </c>
      <c r="D13" s="68" t="inlineStr">
        <is>
          <t>Dev A</t>
        </is>
      </c>
      <c r="E13" s="68" t="inlineStr">
        <is>
          <t>Hecho</t>
        </is>
      </c>
      <c r="F13" s="61" t="n"/>
    </row>
    <row r="14" ht="15" customHeight="1" s="40">
      <c r="A14" s="61" t="n">
        <v>10</v>
      </c>
      <c r="B14" s="61" t="inlineStr">
        <is>
          <t>US-01</t>
        </is>
      </c>
      <c r="C14" s="61" t="inlineStr">
        <is>
          <t>Endpoint POST /manuscripts multipart con validación de firma %PDF-, tamaño y metadatos</t>
        </is>
      </c>
      <c r="D14" s="68" t="inlineStr">
        <is>
          <t>Dev A</t>
        </is>
      </c>
      <c r="E14" s="68" t="inlineStr">
        <is>
          <t>Hecho</t>
        </is>
      </c>
      <c r="F14" s="61" t="n"/>
    </row>
    <row r="15" ht="15" customHeight="1" s="40">
      <c r="A15" s="61" t="n">
        <v>11</v>
      </c>
      <c r="B15" s="61" t="inlineStr">
        <is>
          <t>US-01</t>
        </is>
      </c>
      <c r="C15" s="61" t="inlineStr">
        <is>
          <t>Almacenamiento en storage/{id}.pdf, idempotencia por submission_id + sha256 (D-01) y lanzamiento del análisis con BackgroundTasks (D-04)</t>
        </is>
      </c>
      <c r="D15" s="68" t="inlineStr">
        <is>
          <t>Dev A</t>
        </is>
      </c>
      <c r="E15" s="68" t="inlineStr">
        <is>
          <t>Hecho</t>
        </is>
      </c>
      <c r="F15" s="61" t="n"/>
    </row>
    <row r="16" ht="15" customHeight="1" s="40">
      <c r="A16" s="61" t="n">
        <v>12</v>
      </c>
      <c r="B16" s="61" t="inlineStr">
        <is>
          <t>US-01</t>
        </is>
      </c>
      <c r="C16" s="61" t="inlineStr">
        <is>
          <t>Pytest: PDF válido → 202; no PDF → 400; &gt; 25 MB → 413; sin submission_id → 422; reenvío idéntico → 200 con el mismo manuscript_id</t>
        </is>
      </c>
      <c r="D16" s="68" t="inlineStr">
        <is>
          <t>Dev A</t>
        </is>
      </c>
      <c r="E16" s="68" t="inlineStr">
        <is>
          <t>Hecho</t>
        </is>
      </c>
      <c r="F16" s="61" t="n"/>
    </row>
    <row r="17" ht="15" customHeight="1" s="40">
      <c r="A17" s="61" t="n">
        <v>13</v>
      </c>
      <c r="B17" s="61" t="inlineStr">
        <is>
          <t>US-04</t>
        </is>
      </c>
      <c r="C17" s="61" t="inlineStr">
        <is>
          <t>Servicio extract_text(pdf) → Document con PyMuPDF (bloques, bbox, fuente, tamaño, negrita/cursiva)</t>
        </is>
      </c>
      <c r="D17" s="68" t="inlineStr">
        <is>
          <t>Dev A</t>
        </is>
      </c>
      <c r="E17" s="68" t="inlineStr">
        <is>
          <t>Hecho</t>
        </is>
      </c>
      <c r="F17" s="61" t="n"/>
    </row>
    <row r="18" ht="15" customHeight="1" s="40">
      <c r="A18" s="61" t="n">
        <v>14</v>
      </c>
      <c r="B18" s="61" t="inlineStr">
        <is>
          <t>US-04</t>
        </is>
      </c>
      <c r="C18" s="61" t="inlineStr">
        <is>
          <t>Detección de PDF sin texto o corrupto → estado unreadable (ALT-01)</t>
        </is>
      </c>
      <c r="D18" s="68" t="inlineStr">
        <is>
          <t>Dev A</t>
        </is>
      </c>
      <c r="E18" s="68" t="inlineStr">
        <is>
          <t>Hecho</t>
        </is>
      </c>
      <c r="F18" s="61" t="n"/>
    </row>
    <row r="19" ht="15" customHeight="1" s="40">
      <c r="A19" s="61" t="n">
        <v>15</v>
      </c>
      <c r="B19" s="61" t="inlineStr">
        <is>
          <t>US-04</t>
        </is>
      </c>
      <c r="C19" s="61" t="inlineStr">
        <is>
          <t>Persistir Document como JSONB</t>
        </is>
      </c>
      <c r="D19" s="68" t="inlineStr">
        <is>
          <t>Dev A</t>
        </is>
      </c>
      <c r="E19" s="68" t="inlineStr">
        <is>
          <t>Hecho</t>
        </is>
      </c>
      <c r="F19" s="61" t="n"/>
    </row>
    <row r="20" ht="15" customHeight="1" s="40">
      <c r="A20" s="61" t="n">
        <v>16</v>
      </c>
      <c r="B20" s="61" t="inlineStr">
        <is>
          <t>US-04</t>
        </is>
      </c>
      <c r="C20" s="61" t="inlineStr">
        <is>
          <t>Pytest con los 5 PDFs de prueba y medición de tiempo (30 páginas &lt; 10 s)</t>
        </is>
      </c>
      <c r="D20" s="68" t="inlineStr">
        <is>
          <t>Dev A</t>
        </is>
      </c>
      <c r="E20" s="68" t="inlineStr">
        <is>
          <t>Hecho</t>
        </is>
      </c>
      <c r="F20" s="61" t="n"/>
    </row>
    <row r="21" ht="15" customHeight="1" s="40">
      <c r="A21" s="61" t="n">
        <v>17</v>
      </c>
      <c r="B21" s="61" t="inlineStr">
        <is>
          <t>US-09</t>
        </is>
      </c>
      <c r="C21" s="61" t="inlineStr">
        <is>
          <t>Crear rules/innosoft/figuras.yaml con RE-20..RE-27 según formato-reglas.md</t>
        </is>
      </c>
      <c r="D21" s="68" t="inlineStr">
        <is>
          <t>Dev B</t>
        </is>
      </c>
      <c r="E21" s="68" t="inlineStr">
        <is>
          <t>Hecho</t>
        </is>
      </c>
      <c r="F21" s="61" t="n"/>
    </row>
    <row r="22" ht="15" customHeight="1" s="40">
      <c r="A22" s="61" t="n">
        <v>18</v>
      </c>
      <c r="B22" s="61" t="inlineStr">
        <is>
          <t>US-09</t>
        </is>
      </c>
      <c r="C22" s="61" t="inlineStr">
        <is>
          <t>rules/schema/rule.schema.json + loader con validaciones adicionales y rules_hash</t>
        </is>
      </c>
      <c r="D22" s="68" t="inlineStr">
        <is>
          <t>Dev B</t>
        </is>
      </c>
      <c r="E22" s="68" t="inlineStr">
        <is>
          <t>Hecho</t>
        </is>
      </c>
      <c r="F22" s="61" t="n"/>
    </row>
    <row r="23" ht="15" customHeight="1" s="40">
      <c r="A23" s="61" t="n">
        <v>19</v>
      </c>
      <c r="B23" s="61" t="inlineStr">
        <is>
          <t>US-09</t>
        </is>
      </c>
      <c r="C23" s="61" t="inlineStr">
        <is>
          <t>Endpoint GET /rules?section=original</t>
        </is>
      </c>
      <c r="D23" s="68" t="inlineStr">
        <is>
          <t>Dev B</t>
        </is>
      </c>
      <c r="E23" s="68" t="inlineStr">
        <is>
          <t>Hecho</t>
        </is>
      </c>
      <c r="F23" s="61" t="n"/>
    </row>
    <row r="24" ht="15" customHeight="1" s="40">
      <c r="A24" s="61" t="n">
        <v>20</v>
      </c>
      <c r="B24" s="61" t="inlineStr">
        <is>
          <t>US-09</t>
        </is>
      </c>
      <c r="C24" s="61" t="inlineStr">
        <is>
          <t>Pytest del loader: válida, sin id, id duplicado, evaluador inexistente</t>
        </is>
      </c>
      <c r="D24" s="68" t="inlineStr">
        <is>
          <t>Dev B</t>
        </is>
      </c>
      <c r="E24" s="68" t="inlineStr">
        <is>
          <t>Hecho</t>
        </is>
      </c>
      <c r="F24" s="61" t="n"/>
    </row>
    <row r="25" ht="15" customHeight="1" s="40">
      <c r="A25" s="61" t="n">
        <v>21</v>
      </c>
      <c r="B25" s="61" t="inlineStr">
        <is>
          <t>US-06</t>
        </is>
      </c>
      <c r="C25" s="61" t="inlineStr">
        <is>
          <t>Listar imágenes por página con bbox y píxeles reales (get_images / get_image_info)</t>
        </is>
      </c>
      <c r="D25" s="68" t="inlineStr">
        <is>
          <t>Dev B</t>
        </is>
      </c>
      <c r="E25" s="68" t="inlineStr">
        <is>
          <t>Hecho</t>
        </is>
      </c>
      <c r="F25" s="61" t="n"/>
    </row>
    <row r="26" ht="15" customHeight="1" s="40">
      <c r="A26" s="61" t="n">
        <v>22</v>
      </c>
      <c r="B26" s="61" t="inlineStr">
        <is>
          <t>US-06</t>
        </is>
      </c>
      <c r="C26" s="61" t="inlineStr">
        <is>
          <t>Calcular dpi efectivo = px / tamaño impreso en pulgadas</t>
        </is>
      </c>
      <c r="D26" s="68" t="inlineStr">
        <is>
          <t>Dev B</t>
        </is>
      </c>
      <c r="E26" s="68" t="inlineStr">
        <is>
          <t>Hecho</t>
        </is>
      </c>
      <c r="F26" s="61" t="n"/>
    </row>
    <row r="27" ht="15" customHeight="1" s="40">
      <c r="A27" s="61" t="n">
        <v>23</v>
      </c>
      <c r="B27" s="61" t="inlineStr">
        <is>
          <t>US-06</t>
        </is>
      </c>
      <c r="C27" s="61" t="inlineStr">
        <is>
          <t>Asociar pie de figura: primer bloque bajo el bbox que empiece con Figura/Fig. (tolerancia 40 pt)</t>
        </is>
      </c>
      <c r="D27" s="68" t="inlineStr">
        <is>
          <t>Dev B</t>
        </is>
      </c>
      <c r="E27" s="68" t="inlineStr">
        <is>
          <t>Hecho</t>
        </is>
      </c>
      <c r="F27" s="61" t="n"/>
    </row>
    <row r="28" ht="15" customHeight="1" s="40">
      <c r="A28" s="61" t="n">
        <v>24</v>
      </c>
      <c r="B28" s="61" t="inlineStr">
        <is>
          <t>US-06</t>
        </is>
      </c>
      <c r="C28" s="61" t="inlineStr">
        <is>
          <t>Detectar dibujos vectoriales (get_drawings) y marcarlos como vector</t>
        </is>
      </c>
      <c r="D28" s="68" t="inlineStr">
        <is>
          <t>Dev B</t>
        </is>
      </c>
      <c r="E28" s="68" t="inlineStr">
        <is>
          <t>Hecho</t>
        </is>
      </c>
      <c r="F28" s="61" t="n"/>
    </row>
    <row r="29" ht="15" customHeight="1" s="40">
      <c r="A29" s="61" t="n">
        <v>25</v>
      </c>
      <c r="B29" s="61" t="inlineStr">
        <is>
          <t>US-06</t>
        </is>
      </c>
      <c r="C29" s="61" t="inlineStr">
        <is>
          <t>Manuscrito sin figuras (ALT-03) → lista vacía; Pytest con figuras pequeñas y sin pie</t>
        </is>
      </c>
      <c r="D29" s="68" t="inlineStr">
        <is>
          <t>Dev B</t>
        </is>
      </c>
      <c r="E29" s="68" t="inlineStr">
        <is>
          <t>Hecho</t>
        </is>
      </c>
      <c r="F29" s="61" t="n"/>
    </row>
    <row r="30" ht="15" customHeight="1" s="40">
      <c r="A30" s="61" t="n">
        <v>26</v>
      </c>
      <c r="B30" s="61" t="inlineStr">
        <is>
          <t>US-10</t>
        </is>
      </c>
      <c r="C30" s="61" t="inlineStr">
        <is>
          <t>Motor run_rules(document, rules) → list[Finding] con captura de excepciones por regla</t>
        </is>
      </c>
      <c r="D30" s="68" t="inlineStr">
        <is>
          <t>Dev B</t>
        </is>
      </c>
      <c r="E30" s="68" t="inlineStr">
        <is>
          <t>Hecho</t>
        </is>
      </c>
      <c r="F30" s="61" t="n"/>
    </row>
    <row r="31" ht="15" customHeight="1" s="40">
      <c r="A31" s="61" t="n">
        <v>27</v>
      </c>
      <c r="B31" s="61" t="inlineStr">
        <is>
          <t>US-10</t>
        </is>
      </c>
      <c r="C31" s="61" t="inlineStr">
        <is>
          <t>Evaluadores figure_min_pixels (RE-20) y figure_min_dpi (RE-21)</t>
        </is>
      </c>
      <c r="D31" s="68" t="inlineStr">
        <is>
          <t>Dev B</t>
        </is>
      </c>
      <c r="E31" s="68" t="inlineStr">
        <is>
          <t>Hecho</t>
        </is>
      </c>
      <c r="F31" s="61" t="n"/>
    </row>
    <row r="32" ht="15" customHeight="1" s="40">
      <c r="A32" s="61" t="n">
        <v>28</v>
      </c>
      <c r="B32" s="61" t="inlineStr">
        <is>
          <t>US-10</t>
        </is>
      </c>
      <c r="C32" s="61" t="inlineStr">
        <is>
          <t>Endpoint GET /manuscripts/{id}/findings</t>
        </is>
      </c>
      <c r="D32" s="68" t="inlineStr">
        <is>
          <t>Dev B</t>
        </is>
      </c>
      <c r="E32" s="68" t="inlineStr">
        <is>
          <t>Hecho</t>
        </is>
      </c>
      <c r="F32" s="61" t="n"/>
    </row>
    <row r="33" ht="15" customHeight="1" s="40">
      <c r="A33" s="61" t="n">
        <v>29</v>
      </c>
      <c r="B33" s="61" t="inlineStr">
        <is>
          <t>US-10</t>
        </is>
      </c>
      <c r="C33" s="61" t="inlineStr">
        <is>
          <t>Pytest: 300×600 px falla RE-20; 800×2000 px a 300 dpi pasa; vectorial no aplica RE-21</t>
        </is>
      </c>
      <c r="D33" s="68" t="inlineStr">
        <is>
          <t>Dev B</t>
        </is>
      </c>
      <c r="E33" s="68" t="inlineStr">
        <is>
          <t>Hecho</t>
        </is>
      </c>
      <c r="F33" s="61" t="n"/>
    </row>
    <row r="34" ht="15" customHeight="1" s="40">
      <c r="A34" s="61" t="n">
        <v>30</v>
      </c>
      <c r="B34" s="61" t="inlineStr">
        <is>
          <t>US-10</t>
        </is>
      </c>
      <c r="C34" s="61" t="inlineStr">
        <is>
          <t>Guion de demo: docker compose up + curl POST y GET findings (Sprint Review 9-oct)</t>
        </is>
      </c>
      <c r="D34" s="68" t="inlineStr">
        <is>
          <t>Ambos</t>
        </is>
      </c>
      <c r="E34" s="68" t="inlineStr">
        <is>
          <t>Hecho</t>
        </is>
      </c>
      <c r="F34" s="61" t="n"/>
    </row>
    <row r="35" ht="15" customHeight="1" s="40">
      <c r="A35" s="61" t="n"/>
      <c r="B35" s="61" t="n"/>
      <c r="C35" s="61" t="n"/>
      <c r="D35" s="68" t="n"/>
      <c r="E35" s="68" t="n"/>
      <c r="F35" s="61" t="n"/>
    </row>
    <row r="36" ht="15" customHeight="1" s="40">
      <c r="A36" s="61" t="n"/>
      <c r="B36" s="61" t="n"/>
      <c r="C36" s="70" t="inlineStr">
        <is>
          <t>Avance del sprint</t>
        </is>
      </c>
      <c r="D36" s="68" t="n"/>
      <c r="E36" s="68" t="n"/>
      <c r="F36" s="61" t="n"/>
    </row>
    <row r="37" ht="15" customHeight="1" s="40">
      <c r="A37" s="61" t="n"/>
      <c r="B37" s="61" t="n"/>
      <c r="C37" s="61" t="inlineStr">
        <is>
          <t>Tareas totales</t>
        </is>
      </c>
      <c r="D37" s="61">
        <f>COUNTA(C5:C34)</f>
        <v/>
      </c>
      <c r="E37" s="68" t="n"/>
      <c r="F37" s="61" t="n"/>
    </row>
    <row r="38" ht="15" customHeight="1" s="40">
      <c r="A38" s="61" t="n"/>
      <c r="B38" s="61" t="n"/>
      <c r="C38" s="61" t="inlineStr">
        <is>
          <t>Tareas hechas</t>
        </is>
      </c>
      <c r="D38" s="61">
        <f>COUNTIF(E5:E34,"Hecho")</f>
        <v/>
      </c>
      <c r="E38" s="68" t="n"/>
      <c r="F38" s="61" t="n"/>
    </row>
    <row r="39" ht="15" customHeight="1" s="40">
      <c r="A39" s="61" t="n"/>
      <c r="B39" s="61" t="n"/>
      <c r="C39" s="61" t="inlineStr">
        <is>
          <t>Tareas bloqueadas</t>
        </is>
      </c>
      <c r="D39" s="61">
        <f>COUNTIF(E5:E34,"Bloqueada")</f>
        <v/>
      </c>
      <c r="E39" s="68" t="n"/>
      <c r="F39" s="61" t="n"/>
    </row>
    <row r="40" ht="15" customHeight="1" s="40">
      <c r="A40" s="61" t="n"/>
      <c r="B40" s="61" t="n"/>
      <c r="C40" s="70" t="inlineStr">
        <is>
          <t>% avance</t>
        </is>
      </c>
      <c r="D40" s="71">
        <f>IF(D37&gt;0,D38/D37,0)</f>
        <v/>
      </c>
      <c r="E40" s="68" t="n"/>
      <c r="F40" s="61" t="n"/>
    </row>
    <row r="41" ht="15" customHeight="1" s="40">
      <c r="A41" s="61" t="n"/>
      <c r="B41" s="61" t="n"/>
      <c r="C41" s="61" t="n"/>
      <c r="D41" s="68" t="n"/>
      <c r="E41" s="68" t="n"/>
      <c r="F41" s="61" t="n"/>
    </row>
    <row r="42" ht="15" customHeight="1" s="40">
      <c r="A42" s="61" t="n"/>
      <c r="B42" s="61" t="n"/>
      <c r="C42" s="70" t="inlineStr">
        <is>
          <t>Avance por historia</t>
        </is>
      </c>
      <c r="D42" s="68" t="n"/>
      <c r="E42" s="68" t="n"/>
      <c r="F42" s="61" t="n"/>
    </row>
    <row r="43" ht="15" customHeight="1" s="40">
      <c r="C43" s="45" t="inlineStr">
        <is>
          <t>US-00</t>
        </is>
      </c>
      <c r="D43" s="72">
        <f>IF(COUNTIF($B$5:$B$34,C43)&gt;0,COUNTIFS($B$5:$B$34,C43,$E$5:$E$34,"Hecho")/COUNTIF($B$5:$B$34,C43),0)</f>
        <v/>
      </c>
    </row>
    <row r="44" ht="15" customHeight="1" s="40">
      <c r="C44" s="45" t="inlineStr">
        <is>
          <t>US-01</t>
        </is>
      </c>
      <c r="D44" s="72">
        <f>IF(COUNTIF($B$5:$B$34,C44)&gt;0,COUNTIFS($B$5:$B$34,C44,$E$5:$E$34,"Hecho")/COUNTIF($B$5:$B$34,C44),0)</f>
        <v/>
      </c>
    </row>
    <row r="45" ht="15" customHeight="1" s="40">
      <c r="C45" s="45" t="inlineStr">
        <is>
          <t>US-04</t>
        </is>
      </c>
      <c r="D45" s="72">
        <f>IF(COUNTIF($B$5:$B$34,C45)&gt;0,COUNTIFS($B$5:$B$34,C45,$E$5:$E$34,"Hecho")/COUNTIF($B$5:$B$34,C45),0)</f>
        <v/>
      </c>
    </row>
    <row r="46" ht="15" customHeight="1" s="40">
      <c r="C46" s="45" t="inlineStr">
        <is>
          <t>US-09</t>
        </is>
      </c>
      <c r="D46" s="72">
        <f>IF(COUNTIF($B$5:$B$34,C46)&gt;0,COUNTIFS($B$5:$B$34,C46,$E$5:$E$34,"Hecho")/COUNTIF($B$5:$B$34,C46),0)</f>
        <v/>
      </c>
    </row>
    <row r="47" ht="15" customHeight="1" s="40">
      <c r="C47" s="45" t="inlineStr">
        <is>
          <t>US-06</t>
        </is>
      </c>
      <c r="D47" s="72">
        <f>IF(COUNTIF($B$5:$B$34,C47)&gt;0,COUNTIFS($B$5:$B$34,C47,$E$5:$E$34,"Hecho")/COUNTIF($B$5:$B$34,C47),0)</f>
        <v/>
      </c>
    </row>
    <row r="48" ht="15" customHeight="1" s="40">
      <c r="C48" s="45" t="inlineStr">
        <is>
          <t>US-10</t>
        </is>
      </c>
      <c r="D48" s="72">
        <f>IF(COUNTIF($B$5:$B$34,C48)&gt;0,COUNTIFS($B$5:$B$34,C48,$E$5:$E$34,"Hecho")/COUNTIF($B$5:$B$34,C48),0)</f>
        <v/>
      </c>
    </row>
    <row r="50" ht="15" customHeight="1" s="40">
      <c r="C50" s="66" t="n"/>
    </row>
    <row r="51" ht="15" customHeight="1" s="40">
      <c r="C51" s="52" t="n"/>
      <c r="D51" s="69" t="n"/>
    </row>
    <row r="52" ht="15" customHeight="1" s="40">
      <c r="C52" s="52" t="n"/>
      <c r="D52" s="69" t="n"/>
    </row>
    <row r="53" ht="15" customHeight="1" s="40">
      <c r="C53" s="52" t="n"/>
      <c r="D53" s="69" t="n"/>
    </row>
    <row r="54" ht="15" customHeight="1" s="40">
      <c r="C54" s="52" t="n"/>
      <c r="D54" s="69" t="n"/>
    </row>
    <row r="55" ht="15" customHeight="1" s="40">
      <c r="C55" s="52" t="n"/>
      <c r="D55" s="69" t="n"/>
    </row>
    <row r="56" ht="15" customHeight="1" s="40">
      <c r="C56" s="52" t="n"/>
      <c r="D56" s="69" t="n"/>
    </row>
    <row r="57" ht="15" customHeight="1" s="40">
      <c r="C57" s="52" t="n"/>
      <c r="D57" s="69" t="n"/>
    </row>
  </sheetData>
  <dataValidations count="1">
    <dataValidation sqref="E5:E34" showDropDown="0" showInputMessage="0" showErrorMessage="0" allowBlank="1" type="list" errorStyle="stop" operator="between">
      <formula1>"Pendiente,En curso,Hecho,Bloqueada"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39" min="1" max="1"/>
    <col width="14" customWidth="1" style="39" min="2" max="3"/>
    <col width="45" customWidth="1" style="39" min="4" max="4"/>
    <col width="70" customWidth="1" style="39" min="5" max="5"/>
    <col width="12" customWidth="1" style="39" min="6" max="6"/>
    <col width="14" customWidth="1" style="39" min="8" max="8"/>
  </cols>
  <sheetData>
    <row r="1" ht="15.75" customHeight="1" s="40">
      <c r="A1" s="41" t="inlineStr">
        <is>
          <t>Calendario de sprints (2 semanas)</t>
        </is>
      </c>
    </row>
    <row r="2" ht="15" customHeight="1" s="40">
      <c r="A2" s="73" t="inlineStr">
        <is>
          <t>Replanificado el 29-sep-2026: el Sprint 1 no produjo código y su objetivo pasa al Sprint 2. Feriado nacional: jueves 8-oct.</t>
        </is>
      </c>
    </row>
    <row r="3" ht="15" customHeight="1" s="40">
      <c r="A3" s="43" t="inlineStr">
        <is>
          <t>Sprint</t>
        </is>
      </c>
      <c r="B3" s="43" t="inlineStr">
        <is>
          <t>Inicio</t>
        </is>
      </c>
      <c r="C3" s="43" t="inlineStr">
        <is>
          <t>Fin</t>
        </is>
      </c>
      <c r="D3" s="43" t="inlineStr">
        <is>
          <t>Tema (Capítulo III)</t>
        </is>
      </c>
      <c r="E3" s="43" t="inlineStr">
        <is>
          <t>Historias candidatas</t>
        </is>
      </c>
      <c r="F3" s="50" t="inlineStr">
        <is>
          <t>Días hábiles</t>
        </is>
      </c>
      <c r="H3" s="49" t="inlineStr">
        <is>
          <t>Feriados</t>
        </is>
      </c>
    </row>
    <row r="4" ht="15" customHeight="1" s="40">
      <c r="A4" s="61" t="n">
        <v>1</v>
      </c>
      <c r="B4" s="74" t="n">
        <v>46279</v>
      </c>
      <c r="C4" s="74" t="n">
        <v>46290</v>
      </c>
      <c r="D4" s="61" t="inlineStr">
        <is>
          <t>Especificación general y base del sistema</t>
        </is>
      </c>
      <c r="E4" s="61" t="inlineStr">
        <is>
          <t>Plan: US-00, US-01, US-04, US-09, US-06, US-10 (US-07 stretch). Resultado: solo especificación y diseño; la implementación se arrastra al Sprint 2.</t>
        </is>
      </c>
      <c r="F4" s="75">
        <f>NETWORKDAYS(B4,C4,$H$4:$H$5)</f>
        <v/>
      </c>
      <c r="H4" s="53" t="n">
        <v>46303</v>
      </c>
      <c r="I4" s="51" t="inlineStr">
        <is>
          <t>Combate de Angamos (feriado nacional)</t>
        </is>
      </c>
    </row>
    <row r="5" ht="15" customHeight="1" s="40">
      <c r="A5" s="61" t="n">
        <v>2</v>
      </c>
      <c r="B5" s="74" t="n">
        <v>46293</v>
      </c>
      <c r="C5" s="74" t="n">
        <v>46304</v>
      </c>
      <c r="D5" s="61" t="inlineStr">
        <is>
          <t>Walking skeleton (objetivo original del Sprint 1)</t>
        </is>
      </c>
      <c r="E5" s="61" t="inlineStr">
        <is>
          <t>US-00, US-01, US-04, US-09, US-06, US-10. Specs aprobadas el 30-sep; desde el 1-oct solo código.</t>
        </is>
      </c>
      <c r="F5" s="75">
        <f>NETWORKDAYS(B5,C5,$H$4:$H$5)</f>
        <v/>
      </c>
      <c r="H5" s="53" t="n">
        <v>46364</v>
      </c>
      <c r="I5" s="51" t="inlineStr">
        <is>
          <t>Inmaculada Concepción (fuera del calendario, referencia)</t>
        </is>
      </c>
    </row>
    <row r="6" ht="15" customHeight="1" s="40">
      <c r="A6" s="61" t="n">
        <v>3</v>
      </c>
      <c r="B6" s="74" t="n">
        <v>46307</v>
      </c>
      <c r="C6" s="74" t="n">
        <v>46318</v>
      </c>
      <c r="D6" s="61" t="inlineStr">
        <is>
          <t>Procesamiento documental y reglas de citas y referencias</t>
        </is>
      </c>
      <c r="E6" s="61" t="inlineStr">
        <is>
          <t>US-03, US-05*, US-07, US-08*, US-11*, US-12, US-13* + spike API REST OJS 3.1.2.1 (1 día). * alcance reducido</t>
        </is>
      </c>
      <c r="F6" s="75">
        <f>NETWORKDAYS(B6,C6,$H$4:$H$5)</f>
        <v/>
      </c>
    </row>
    <row r="7" ht="15" customHeight="1" s="40">
      <c r="A7" s="61" t="n">
        <v>4</v>
      </c>
      <c r="B7" s="74" t="n">
        <v>46321</v>
      </c>
      <c r="C7" s="74" t="n">
        <v>46332</v>
      </c>
      <c r="D7" s="61" t="inlineStr">
        <is>
          <t>Integración de Gemini e inicio de la interfaz editorial</t>
        </is>
      </c>
      <c r="E7" s="61" t="inlineStr">
        <is>
          <t>US-17, US-15, US-16, US-18*, US-28, US-19, US-20; matriz de trazabilidad y OpenAPI</t>
        </is>
      </c>
      <c r="F7" s="75">
        <f>NETWORKDAYS(B7,C7,$H$4:$H$5)</f>
        <v/>
      </c>
    </row>
    <row r="8" ht="15" customHeight="1" s="40">
      <c r="A8" s="61" t="n">
        <v>5</v>
      </c>
      <c r="B8" s="74" t="n">
        <v>46335</v>
      </c>
      <c r="C8" s="74" t="n">
        <v>46346</v>
      </c>
      <c r="D8" s="61" t="inlineStr">
        <is>
          <t>Revisión editorial e integración con OJS</t>
        </is>
      </c>
      <c r="E8" s="61" t="inlineStr">
        <is>
          <t>US-21, US-24, US-02. Si el 16-nov US-02 no avanza: disparo manual vía POST /manuscripts y se mantiene US-24.</t>
        </is>
      </c>
      <c r="F8" s="75">
        <f>NETWORKDAYS(B8,C8,$H$4:$H$5)</f>
        <v/>
      </c>
    </row>
    <row r="9" ht="23.25" customHeight="1" s="40">
      <c r="A9" s="61" t="n">
        <v>6</v>
      </c>
      <c r="B9" s="74" t="n">
        <v>46349</v>
      </c>
      <c r="C9" s="74" t="n">
        <v>46360</v>
      </c>
      <c r="D9" s="61" t="inlineStr">
        <is>
          <t>Evaluación, ajustes y versión final</t>
        </is>
      </c>
      <c r="E9" s="61" t="inlineStr">
        <is>
          <t>Sin historias nuevas: 3 días de buffer, métricas (precisión, recall, F1, tasa de aceptación), manuales y capítulo de resultados. US-23 solo si sobra capacidad.</t>
        </is>
      </c>
      <c r="F9" s="75">
        <f>NETWORKDAYS(B9,C9,$H$4:$H$5)</f>
        <v/>
      </c>
    </row>
    <row r="12" ht="15" customHeight="1" s="40">
      <c r="A12" s="66" t="inlineStr">
        <is>
          <t>Eventos Scrum del Sprint 1</t>
        </is>
      </c>
    </row>
    <row r="13" ht="15" customHeight="1" s="40">
      <c r="A13" s="43" t="inlineStr">
        <is>
          <t>Evento</t>
        </is>
      </c>
      <c r="B13" s="43" t="inlineStr">
        <is>
          <t>Fecha</t>
        </is>
      </c>
      <c r="C13" s="43" t="inlineStr">
        <is>
          <t>Duración</t>
        </is>
      </c>
      <c r="D13" s="43" t="inlineStr">
        <is>
          <t>Objetivo</t>
        </is>
      </c>
    </row>
    <row r="14" ht="23.25" customHeight="1" s="40">
      <c r="A14" s="61" t="inlineStr">
        <is>
          <t>Sprint Planning</t>
        </is>
      </c>
      <c r="B14" s="74" t="n">
        <v>46279</v>
      </c>
      <c r="C14" s="61" t="inlineStr">
        <is>
          <t>2 h</t>
        </is>
      </c>
      <c r="D14" s="61" t="inlineStr">
        <is>
          <t>Confirmar capacidad, re-estimar historias, definir Sprint Backlog</t>
        </is>
      </c>
    </row>
    <row r="15" ht="15" customHeight="1" s="40">
      <c r="A15" s="61" t="inlineStr">
        <is>
          <t>Daily Scrum</t>
        </is>
      </c>
      <c r="B15" s="61" t="inlineStr">
        <is>
          <t>Diario</t>
        </is>
      </c>
      <c r="C15" s="61" t="inlineStr">
        <is>
          <t>15 min</t>
        </is>
      </c>
      <c r="D15" s="61" t="inlineStr">
        <is>
          <t>Sincronización y detección de impedimentos</t>
        </is>
      </c>
    </row>
    <row r="16" ht="23.25" customHeight="1" s="40">
      <c r="A16" s="61" t="inlineStr">
        <is>
          <t>Refinamiento del backlog</t>
        </is>
      </c>
      <c r="B16" s="74" t="n">
        <v>46288</v>
      </c>
      <c r="C16" s="61" t="inlineStr">
        <is>
          <t>1 h</t>
        </is>
      </c>
      <c r="D16" s="61" t="inlineStr">
        <is>
          <t>Preparar historias del Sprint 2 (US-05, 07, 08, 11, 12, 13)</t>
        </is>
      </c>
    </row>
    <row r="17" ht="15" customHeight="1" s="40">
      <c r="A17" s="61" t="inlineStr">
        <is>
          <t>Sprint Review</t>
        </is>
      </c>
      <c r="B17" s="74" t="n">
        <v>46290</v>
      </c>
      <c r="C17" s="61" t="inlineStr">
        <is>
          <t>1 h</t>
        </is>
      </c>
      <c r="D17" s="61" t="inlineStr">
        <is>
          <t>Demo del walking skeleton; revisión de specs</t>
        </is>
      </c>
    </row>
    <row r="18" ht="23.25" customHeight="1" s="40">
      <c r="A18" s="61" t="inlineStr">
        <is>
          <t>Sprint Retrospective</t>
        </is>
      </c>
      <c r="B18" s="74" t="n">
        <v>46290</v>
      </c>
      <c r="C18" s="61" t="inlineStr">
        <is>
          <t>45 min</t>
        </is>
      </c>
      <c r="D18" s="61" t="inlineStr">
        <is>
          <t>Claridad de specs, distribución del trabajo, configuración, estimaciones</t>
        </is>
      </c>
    </row>
    <row r="20" ht="15" customHeight="1" s="40">
      <c r="A20" s="49" t="inlineStr">
        <is>
          <t>Eventos Scrum del Sprint 2 (replanificado)</t>
        </is>
      </c>
    </row>
    <row r="21" ht="15" customHeight="1" s="40">
      <c r="A21" s="50" t="inlineStr">
        <is>
          <t>Evento</t>
        </is>
      </c>
      <c r="B21" s="50" t="inlineStr">
        <is>
          <t>Fecha</t>
        </is>
      </c>
      <c r="C21" s="50" t="inlineStr">
        <is>
          <t>Duración</t>
        </is>
      </c>
      <c r="D21" s="50" t="inlineStr">
        <is>
          <t>Objetivo</t>
        </is>
      </c>
    </row>
    <row r="22" ht="23.25" customHeight="1" s="40">
      <c r="A22" s="45" t="inlineStr">
        <is>
          <t>Replanificación</t>
        </is>
      </c>
      <c r="B22" s="76" t="n">
        <v>46294</v>
      </c>
      <c r="C22" s="45" t="inlineStr">
        <is>
          <t>1 h</t>
        </is>
      </c>
      <c r="D22" s="45" t="inlineStr">
        <is>
          <t>Aceptar el nuevo plan, recortes y regla de recorte (hoja 'Replan 29-sep')</t>
        </is>
      </c>
    </row>
    <row r="23" ht="23.25" customHeight="1" s="40">
      <c r="A23" s="45" t="inlineStr">
        <is>
          <t>Aprobación de specs</t>
        </is>
      </c>
      <c r="B23" s="76" t="n">
        <v>46295</v>
      </c>
      <c r="C23" s="45" t="inlineStr">
        <is>
          <t>2 h</t>
        </is>
      </c>
      <c r="D23" s="45" t="inlineStr">
        <is>
          <t>Revisión cruzada de 00-producto, formato-reglas y US-00/01/04/06/09/10</t>
        </is>
      </c>
    </row>
    <row r="24" ht="15" customHeight="1" s="40">
      <c r="A24" s="45" t="inlineStr">
        <is>
          <t>Daily Scrum</t>
        </is>
      </c>
      <c r="B24" s="45" t="inlineStr">
        <is>
          <t>Diario</t>
        </is>
      </c>
      <c r="C24" s="45" t="inlineStr">
        <is>
          <t>15 min</t>
        </is>
      </c>
      <c r="D24" s="45" t="inlineStr">
        <is>
          <t>Sincronización; ¿hay código en main desde ayer?</t>
        </is>
      </c>
    </row>
    <row r="25" ht="23.25" customHeight="1" s="40">
      <c r="A25" s="45" t="inlineStr">
        <is>
          <t>Punto de control</t>
        </is>
      </c>
      <c r="B25" s="76" t="n">
        <v>46301</v>
      </c>
      <c r="C25" s="45" t="inlineStr">
        <is>
          <t>30 min</t>
        </is>
      </c>
      <c r="D25" s="45" t="inlineStr">
        <is>
          <t>US-01 y US-04 en main; si no, aplicar regla de recorte del Sprint 2</t>
        </is>
      </c>
    </row>
    <row r="26" ht="23.25" customHeight="1" s="40">
      <c r="A26" s="45" t="inlineStr">
        <is>
          <t>Refinamiento del backlog</t>
        </is>
      </c>
      <c r="B26" s="76" t="n">
        <v>46302</v>
      </c>
      <c r="C26" s="45" t="inlineStr">
        <is>
          <t>1 h</t>
        </is>
      </c>
      <c r="D26" s="45" t="inlineStr">
        <is>
          <t>Preparar Sprint 3 (US-03, 05, 07, 08, 11, 12, 13) y el spike de OJS</t>
        </is>
      </c>
    </row>
    <row r="27" ht="23.25" customHeight="1" s="40">
      <c r="A27" s="45" t="inlineStr">
        <is>
          <t>Sprint Review</t>
        </is>
      </c>
      <c r="B27" s="76" t="n">
        <v>46304</v>
      </c>
      <c r="C27" s="45" t="inlineStr">
        <is>
          <t>1 h</t>
        </is>
      </c>
      <c r="D27" s="45" t="inlineStr">
        <is>
          <t>Demo del walking skeleton con docker compose up + curl</t>
        </is>
      </c>
    </row>
    <row r="28" ht="23.25" customHeight="1" s="40">
      <c r="A28" s="45" t="inlineStr">
        <is>
          <t>Sprint Retrospective</t>
        </is>
      </c>
      <c r="B28" s="76" t="n">
        <v>46304</v>
      </c>
      <c r="C28" s="45" t="inlineStr">
        <is>
          <t>45 min</t>
        </is>
      </c>
      <c r="D28" s="45" t="inlineStr">
        <is>
          <t>Por qué el Sprint 1 no produjo código; acuerdos de capacidad real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2026-09-11T17:59:13Z</dcterms:created>
  <dcterms:modified xmlns:dcterms="http://purl.org/dc/terms/" xmlns:xsi="http://www.w3.org/2001/XMLSchema-instance" xsi:type="dcterms:W3CDTF">2026-10-02T23:55:29Z</dcterms:modified>
  <cp:revision>0</cp:revision>
</cp:coreProperties>
</file>